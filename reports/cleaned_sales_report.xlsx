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  <sheet name="Cleaned Data" sheetId="2" state="visible" r:id="rId4"/>
    <sheet name="Cleaning Notes" sheetId="3" state="visible" r:id="rId5"/>
  </sheets>
  <definedNames>
    <definedName function="false" hidden="true" localSheetId="1" name="_xlnm._FilterDatabase" vbProcedure="false">'Cleaned Data'!$A$1:$M$451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<sst xmlns="http://schemas.openxmlformats.org/spreadsheetml/2006/main" count="3677" uniqueCount="768">
  <si>
    <t xml:space="preserve">Sales Report - Nour Fashion (Jun - Aug 2026)</t>
  </si>
  <si>
    <t xml:space="preserve">Built from the cleaned sales file. Every number below is a formula that reads the 'Cleaned Data' sheet. Revenue = Qty x Price (gross, includes cancelled/returned orders).</t>
  </si>
  <si>
    <t xml:space="preserve">Key numbers</t>
  </si>
  <si>
    <t xml:space="preserve">Metric</t>
  </si>
  <si>
    <t xml:space="preserve">Value</t>
  </si>
  <si>
    <t xml:space="preserve">Total orders</t>
  </si>
  <si>
    <t xml:space="preserve">Total revenue (EGP)</t>
  </si>
  <si>
    <t xml:space="preserve">Cancelled + returned orders</t>
  </si>
  <si>
    <t xml:space="preserve">Cancelled + returned share</t>
  </si>
  <si>
    <t xml:space="preserve">Top 5 products by revenue</t>
  </si>
  <si>
    <t xml:space="preserve">Ranked by revenue (not units): units are nearly flat across products, so price is what separates them.</t>
  </si>
  <si>
    <t xml:space="preserve">Rank</t>
  </si>
  <si>
    <t xml:space="preserve">Product</t>
  </si>
  <si>
    <t xml:space="preserve">Revenue (EGP)</t>
  </si>
  <si>
    <t xml:space="preserve">Units sold</t>
  </si>
  <si>
    <t xml:space="preserve">Orders</t>
  </si>
  <si>
    <t xml:space="preserve">Jacket</t>
  </si>
  <si>
    <t xml:space="preserve">Abaya</t>
  </si>
  <si>
    <t xml:space="preserve">Sneakers</t>
  </si>
  <si>
    <t xml:space="preserve">Dress</t>
  </si>
  <si>
    <t xml:space="preserve">Jeans</t>
  </si>
  <si>
    <t xml:space="preserve">Orders by city</t>
  </si>
  <si>
    <t xml:space="preserve">Orders with an unknown city are left out of this table (see Cleaning Notes).</t>
  </si>
  <si>
    <t xml:space="preserve">City</t>
  </si>
  <si>
    <t xml:space="preserve">Cairo</t>
  </si>
  <si>
    <t xml:space="preserve">Alexandria</t>
  </si>
  <si>
    <t xml:space="preserve">Giza</t>
  </si>
  <si>
    <t xml:space="preserve">Sohag</t>
  </si>
  <si>
    <t xml:space="preserve">Mansoura</t>
  </si>
  <si>
    <t xml:space="preserve">Assiut</t>
  </si>
  <si>
    <t xml:space="preserve">Tanta</t>
  </si>
  <si>
    <t xml:space="preserve">Top city (by orders)</t>
  </si>
  <si>
    <t xml:space="preserve">Monthly sales</t>
  </si>
  <si>
    <t xml:space="preserve">Month</t>
  </si>
  <si>
    <t xml:space="preserve">2026-06</t>
  </si>
  <si>
    <t xml:space="preserve">2026-07</t>
  </si>
  <si>
    <t xml:space="preserve">2026-08</t>
  </si>
  <si>
    <t xml:space="preserve">Order ID</t>
  </si>
  <si>
    <t xml:space="preserve">Order Date</t>
  </si>
  <si>
    <t xml:space="preserve">Customer Name</t>
  </si>
  <si>
    <t xml:space="preserve">Phone</t>
  </si>
  <si>
    <t xml:space="preserve">Category</t>
  </si>
  <si>
    <t xml:space="preserve">Qty</t>
  </si>
  <si>
    <t xml:space="preserve">Price</t>
  </si>
  <si>
    <t xml:space="preserve">Payment Method</t>
  </si>
  <si>
    <t xml:space="preserve">Status</t>
  </si>
  <si>
    <t xml:space="preserve">Revenue</t>
  </si>
  <si>
    <t xml:space="preserve">Ali Mahmoud</t>
  </si>
  <si>
    <t xml:space="preserve">01169801375</t>
  </si>
  <si>
    <t xml:space="preserve">Scarf</t>
  </si>
  <si>
    <t xml:space="preserve">Accessories</t>
  </si>
  <si>
    <t xml:space="preserve">Vodafone Cash</t>
  </si>
  <si>
    <t xml:space="preserve">Cancelled</t>
  </si>
  <si>
    <t xml:space="preserve">آية خليل</t>
  </si>
  <si>
    <t xml:space="preserve">01573841107</t>
  </si>
  <si>
    <t xml:space="preserve">Hoodie</t>
  </si>
  <si>
    <t xml:space="preserve">Tops</t>
  </si>
  <si>
    <t xml:space="preserve">Credit Card</t>
  </si>
  <si>
    <t xml:space="preserve">Delivered</t>
  </si>
  <si>
    <t xml:space="preserve">منى صلاح</t>
  </si>
  <si>
    <t xml:space="preserve">01299957026</t>
  </si>
  <si>
    <t xml:space="preserve">أحمد فتحي</t>
  </si>
  <si>
    <t xml:space="preserve">01214951097</t>
  </si>
  <si>
    <t xml:space="preserve">Shoes</t>
  </si>
  <si>
    <t xml:space="preserve">Cash On Delivery</t>
  </si>
  <si>
    <t xml:space="preserve">Sara Hassan</t>
  </si>
  <si>
    <t xml:space="preserve">01150165258</t>
  </si>
  <si>
    <t xml:space="preserve">عمر السيد</t>
  </si>
  <si>
    <t xml:space="preserve">Not provided</t>
  </si>
  <si>
    <t xml:space="preserve">هدى عادل</t>
  </si>
  <si>
    <t xml:space="preserve">01027937196</t>
  </si>
  <si>
    <t xml:space="preserve">Bottoms</t>
  </si>
  <si>
    <t xml:space="preserve">Instapay</t>
  </si>
  <si>
    <t xml:space="preserve">ياسمين حسن</t>
  </si>
  <si>
    <t xml:space="preserve">01020992514</t>
  </si>
  <si>
    <t xml:space="preserve">Returned</t>
  </si>
  <si>
    <t xml:space="preserve">رنا عادل</t>
  </si>
  <si>
    <t xml:space="preserve">01517656586</t>
  </si>
  <si>
    <t xml:space="preserve">01039520262</t>
  </si>
  <si>
    <t xml:space="preserve">أحمد إبراهيم</t>
  </si>
  <si>
    <t xml:space="preserve">Shipped</t>
  </si>
  <si>
    <t xml:space="preserve">01082244010</t>
  </si>
  <si>
    <t xml:space="preserve">نور حسن</t>
  </si>
  <si>
    <t xml:space="preserve">01246940799</t>
  </si>
  <si>
    <t xml:space="preserve">حسن حسن</t>
  </si>
  <si>
    <t xml:space="preserve">01190676524</t>
  </si>
  <si>
    <t xml:space="preserve">Dresses</t>
  </si>
  <si>
    <t xml:space="preserve">فاطمة رمضان</t>
  </si>
  <si>
    <t xml:space="preserve">01156105767</t>
  </si>
  <si>
    <t xml:space="preserve">سارة السيد</t>
  </si>
  <si>
    <t xml:space="preserve">01114835122</t>
  </si>
  <si>
    <t xml:space="preserve">Skirt</t>
  </si>
  <si>
    <t xml:space="preserve">Esraa Ibrahim</t>
  </si>
  <si>
    <t xml:space="preserve">01153485815</t>
  </si>
  <si>
    <t xml:space="preserve">منى رمضان</t>
  </si>
  <si>
    <t xml:space="preserve">01170814396</t>
  </si>
  <si>
    <t xml:space="preserve">Blouse</t>
  </si>
  <si>
    <t xml:space="preserve">ياسمين عبدالله</t>
  </si>
  <si>
    <t xml:space="preserve">01227203928</t>
  </si>
  <si>
    <t xml:space="preserve">هدى خليل</t>
  </si>
  <si>
    <t xml:space="preserve">01008254662</t>
  </si>
  <si>
    <t xml:space="preserve">Outerwear</t>
  </si>
  <si>
    <t xml:space="preserve">إسراء فتحي</t>
  </si>
  <si>
    <t xml:space="preserve">01242907840</t>
  </si>
  <si>
    <t xml:space="preserve">عمر عبدالله</t>
  </si>
  <si>
    <t xml:space="preserve">01126236969</t>
  </si>
  <si>
    <t xml:space="preserve">Yasmine Hassan</t>
  </si>
  <si>
    <t xml:space="preserve">01064264460</t>
  </si>
  <si>
    <t xml:space="preserve">إسراء محمود</t>
  </si>
  <si>
    <t xml:space="preserve">01059114553</t>
  </si>
  <si>
    <t xml:space="preserve">يوسف عادل</t>
  </si>
  <si>
    <t xml:space="preserve">01507629695</t>
  </si>
  <si>
    <t xml:space="preserve">01574792854</t>
  </si>
  <si>
    <t xml:space="preserve">Dina Ibrahim</t>
  </si>
  <si>
    <t xml:space="preserve">01126980769</t>
  </si>
  <si>
    <t xml:space="preserve">Mohamed Hassan</t>
  </si>
  <si>
    <t xml:space="preserve">01291334647</t>
  </si>
  <si>
    <t xml:space="preserve">محمد عبدالله</t>
  </si>
  <si>
    <t xml:space="preserve">01217874851</t>
  </si>
  <si>
    <t xml:space="preserve">أحمد حسن</t>
  </si>
  <si>
    <t xml:space="preserve">01533296679</t>
  </si>
  <si>
    <t xml:space="preserve">Mostafa Saad</t>
  </si>
  <si>
    <t xml:space="preserve">01047199722</t>
  </si>
  <si>
    <t xml:space="preserve">يوسف يوسف</t>
  </si>
  <si>
    <t xml:space="preserve">01136197238</t>
  </si>
  <si>
    <t xml:space="preserve">Yasmine Mahmoud</t>
  </si>
  <si>
    <t xml:space="preserve">01227848126</t>
  </si>
  <si>
    <t xml:space="preserve">Ahmed Saad</t>
  </si>
  <si>
    <t xml:space="preserve">01216526560</t>
  </si>
  <si>
    <t xml:space="preserve">رنا محمود</t>
  </si>
  <si>
    <t xml:space="preserve">01094171867</t>
  </si>
  <si>
    <t xml:space="preserve">T-Shirt</t>
  </si>
  <si>
    <t xml:space="preserve">هدى السيد</t>
  </si>
  <si>
    <t xml:space="preserve">01139291706</t>
  </si>
  <si>
    <t xml:space="preserve">Mariam Hassan</t>
  </si>
  <si>
    <t xml:space="preserve">01035134779</t>
  </si>
  <si>
    <t xml:space="preserve">منى عادل</t>
  </si>
  <si>
    <t xml:space="preserve">01573406036</t>
  </si>
  <si>
    <t xml:space="preserve">مريم عبدالله</t>
  </si>
  <si>
    <t xml:space="preserve">01526593358</t>
  </si>
  <si>
    <t xml:space="preserve">01266589120</t>
  </si>
  <si>
    <t xml:space="preserve">Youssef Hassan</t>
  </si>
  <si>
    <t xml:space="preserve">01106617861</t>
  </si>
  <si>
    <t xml:space="preserve">Sara Mahmoud</t>
  </si>
  <si>
    <t xml:space="preserve">01235254716</t>
  </si>
  <si>
    <t xml:space="preserve">نور رمضان</t>
  </si>
  <si>
    <t xml:space="preserve">01105613279</t>
  </si>
  <si>
    <t xml:space="preserve">01093465063</t>
  </si>
  <si>
    <t xml:space="preserve">فاطمة عبدالله</t>
  </si>
  <si>
    <t xml:space="preserve">Ali Saad</t>
  </si>
  <si>
    <t xml:space="preserve">01505407525</t>
  </si>
  <si>
    <t xml:space="preserve">Nour Youssef</t>
  </si>
  <si>
    <t xml:space="preserve">01028140380</t>
  </si>
  <si>
    <t xml:space="preserve">إسراء سعد</t>
  </si>
  <si>
    <t xml:space="preserve">01216875391</t>
  </si>
  <si>
    <t xml:space="preserve">فاطمة صلاح</t>
  </si>
  <si>
    <t xml:space="preserve">01069329449</t>
  </si>
  <si>
    <t xml:space="preserve">سارة إبراهيم</t>
  </si>
  <si>
    <t xml:space="preserve">01096347511</t>
  </si>
  <si>
    <t xml:space="preserve">رنا يوسف</t>
  </si>
  <si>
    <t xml:space="preserve">01512314334</t>
  </si>
  <si>
    <t xml:space="preserve">Youssef Ibrahim</t>
  </si>
  <si>
    <t xml:space="preserve">01135139635</t>
  </si>
  <si>
    <t xml:space="preserve">ندى إبراهيم</t>
  </si>
  <si>
    <t xml:space="preserve">01037190873</t>
  </si>
  <si>
    <t xml:space="preserve">01051916768</t>
  </si>
  <si>
    <t xml:space="preserve">منى فتحي</t>
  </si>
  <si>
    <t xml:space="preserve">01181268518</t>
  </si>
  <si>
    <t xml:space="preserve">01596732324</t>
  </si>
  <si>
    <t xml:space="preserve">دينا فتحي</t>
  </si>
  <si>
    <t xml:space="preserve">01197553447</t>
  </si>
  <si>
    <t xml:space="preserve">Rana Hassan</t>
  </si>
  <si>
    <t xml:space="preserve">01282498852</t>
  </si>
  <si>
    <t xml:space="preserve">هدى إبراهيم</t>
  </si>
  <si>
    <t xml:space="preserve">01559358685</t>
  </si>
  <si>
    <t xml:space="preserve">أحمد رمضان</t>
  </si>
  <si>
    <t xml:space="preserve">01019295578</t>
  </si>
  <si>
    <t xml:space="preserve">01565723609</t>
  </si>
  <si>
    <t xml:space="preserve">Dina Hassan</t>
  </si>
  <si>
    <t xml:space="preserve">01082735267</t>
  </si>
  <si>
    <t xml:space="preserve">كريم حسن</t>
  </si>
  <si>
    <t xml:space="preserve">01164671344</t>
  </si>
  <si>
    <t xml:space="preserve">سارة محمود</t>
  </si>
  <si>
    <t xml:space="preserve">01250090303</t>
  </si>
  <si>
    <t xml:space="preserve">مصطفى سعد</t>
  </si>
  <si>
    <t xml:space="preserve">01259828487</t>
  </si>
  <si>
    <t xml:space="preserve">كريم السيد</t>
  </si>
  <si>
    <t xml:space="preserve">01536656315</t>
  </si>
  <si>
    <t xml:space="preserve">Dina Mahmoud</t>
  </si>
  <si>
    <t xml:space="preserve">01288454746</t>
  </si>
  <si>
    <t xml:space="preserve">سارة رمضان</t>
  </si>
  <si>
    <t xml:space="preserve">01008896011</t>
  </si>
  <si>
    <t xml:space="preserve">آية سعد</t>
  </si>
  <si>
    <t xml:space="preserve">01209521719</t>
  </si>
  <si>
    <t xml:space="preserve">رنا عبدالله</t>
  </si>
  <si>
    <t xml:space="preserve">01025533331</t>
  </si>
  <si>
    <t xml:space="preserve">كريم فتحي</t>
  </si>
  <si>
    <t xml:space="preserve">01161638319</t>
  </si>
  <si>
    <t xml:space="preserve">فاطمة السيد</t>
  </si>
  <si>
    <t xml:space="preserve">01597737630</t>
  </si>
  <si>
    <t xml:space="preserve">Karim Youssef</t>
  </si>
  <si>
    <t xml:space="preserve">01082660733</t>
  </si>
  <si>
    <t xml:space="preserve">مريم عادل</t>
  </si>
  <si>
    <t xml:space="preserve">01137405291</t>
  </si>
  <si>
    <t xml:space="preserve">سارة يوسف</t>
  </si>
  <si>
    <t xml:space="preserve">01026629380</t>
  </si>
  <si>
    <t xml:space="preserve">سارة عادل</t>
  </si>
  <si>
    <t xml:space="preserve">01019107278</t>
  </si>
  <si>
    <t xml:space="preserve">01277382686</t>
  </si>
  <si>
    <t xml:space="preserve">كريم خليل</t>
  </si>
  <si>
    <t xml:space="preserve">01561132227</t>
  </si>
  <si>
    <t xml:space="preserve">Omar Mahmoud</t>
  </si>
  <si>
    <t xml:space="preserve">01512597087</t>
  </si>
  <si>
    <t xml:space="preserve">علي محمود</t>
  </si>
  <si>
    <t xml:space="preserve">ياسمين صلاح</t>
  </si>
  <si>
    <t xml:space="preserve">01091729180</t>
  </si>
  <si>
    <t xml:space="preserve">ندى خليل</t>
  </si>
  <si>
    <t xml:space="preserve">01194338857</t>
  </si>
  <si>
    <t xml:space="preserve">دينا عادل</t>
  </si>
  <si>
    <t xml:space="preserve">01542207603</t>
  </si>
  <si>
    <t xml:space="preserve">مصطفى رمضان</t>
  </si>
  <si>
    <t xml:space="preserve">01155245824</t>
  </si>
  <si>
    <t xml:space="preserve">أحمد عادل</t>
  </si>
  <si>
    <t xml:space="preserve">01517107214</t>
  </si>
  <si>
    <t xml:space="preserve">كريم محمود</t>
  </si>
  <si>
    <t xml:space="preserve">01262483356</t>
  </si>
  <si>
    <t xml:space="preserve">يوسف فتحي</t>
  </si>
  <si>
    <t xml:space="preserve">01541679006</t>
  </si>
  <si>
    <t xml:space="preserve">Youssef Youssef</t>
  </si>
  <si>
    <t xml:space="preserve">01502376755</t>
  </si>
  <si>
    <t xml:space="preserve">منى حسن</t>
  </si>
  <si>
    <t xml:space="preserve">01271889617</t>
  </si>
  <si>
    <t xml:space="preserve">01010435464</t>
  </si>
  <si>
    <t xml:space="preserve">علي عبدالله</t>
  </si>
  <si>
    <t xml:space="preserve">01144641947</t>
  </si>
  <si>
    <t xml:space="preserve">-</t>
  </si>
  <si>
    <t xml:space="preserve">01059771736</t>
  </si>
  <si>
    <t xml:space="preserve">إسراء عبدالله</t>
  </si>
  <si>
    <t xml:space="preserve">01026850785</t>
  </si>
  <si>
    <t xml:space="preserve">Ali Ibrahim</t>
  </si>
  <si>
    <t xml:space="preserve">01118611421</t>
  </si>
  <si>
    <t xml:space="preserve">حسن صلاح</t>
  </si>
  <si>
    <t xml:space="preserve">01103690260</t>
  </si>
  <si>
    <t xml:space="preserve">ياسمين فتحي</t>
  </si>
  <si>
    <t xml:space="preserve">01275418122</t>
  </si>
  <si>
    <t xml:space="preserve">Youssef Saad</t>
  </si>
  <si>
    <t xml:space="preserve">01259206157</t>
  </si>
  <si>
    <t xml:space="preserve">01171498574</t>
  </si>
  <si>
    <t xml:space="preserve">Nada Ibrahim</t>
  </si>
  <si>
    <t xml:space="preserve">01592633989</t>
  </si>
  <si>
    <t xml:space="preserve">عمر فتحي</t>
  </si>
  <si>
    <t xml:space="preserve">01261187367</t>
  </si>
  <si>
    <t xml:space="preserve">Nour Mahmoud</t>
  </si>
  <si>
    <t xml:space="preserve">01244336742</t>
  </si>
  <si>
    <t xml:space="preserve">Nour Ibrahim</t>
  </si>
  <si>
    <t xml:space="preserve">01221410984</t>
  </si>
  <si>
    <t xml:space="preserve">نور يوسف</t>
  </si>
  <si>
    <t xml:space="preserve">01141940601</t>
  </si>
  <si>
    <t xml:space="preserve">01117736765</t>
  </si>
  <si>
    <t xml:space="preserve">دينا خليل</t>
  </si>
  <si>
    <t xml:space="preserve">دينا السيد</t>
  </si>
  <si>
    <t xml:space="preserve">01022693640</t>
  </si>
  <si>
    <t xml:space="preserve">01513413230</t>
  </si>
  <si>
    <t xml:space="preserve">يوسف سعد</t>
  </si>
  <si>
    <t xml:space="preserve">01294331925</t>
  </si>
  <si>
    <t xml:space="preserve">إسراء صلاح</t>
  </si>
  <si>
    <t xml:space="preserve">01072618604</t>
  </si>
  <si>
    <t xml:space="preserve">Ahmed Mahmoud</t>
  </si>
  <si>
    <t xml:space="preserve">01597598661</t>
  </si>
  <si>
    <t xml:space="preserve">إسراء رمضان</t>
  </si>
  <si>
    <t xml:space="preserve">01154273359</t>
  </si>
  <si>
    <t xml:space="preserve">01581528376</t>
  </si>
  <si>
    <t xml:space="preserve">محمد رمضان</t>
  </si>
  <si>
    <t xml:space="preserve">01075594394</t>
  </si>
  <si>
    <t xml:space="preserve">محمد فتحي</t>
  </si>
  <si>
    <t xml:space="preserve">01039874664</t>
  </si>
  <si>
    <t xml:space="preserve">01079000213</t>
  </si>
  <si>
    <t xml:space="preserve">حسن رمضان</t>
  </si>
  <si>
    <t xml:space="preserve">ندى رمضان</t>
  </si>
  <si>
    <t xml:space="preserve">01209579916</t>
  </si>
  <si>
    <t xml:space="preserve">يوسف محمود</t>
  </si>
  <si>
    <t xml:space="preserve">01553616778</t>
  </si>
  <si>
    <t xml:space="preserve">Hoda Saad</t>
  </si>
  <si>
    <t xml:space="preserve">01021185687</t>
  </si>
  <si>
    <t xml:space="preserve">01185356746</t>
  </si>
  <si>
    <t xml:space="preserve">منى إبراهيم</t>
  </si>
  <si>
    <t xml:space="preserve">01234220595</t>
  </si>
  <si>
    <t xml:space="preserve">ندى السيد</t>
  </si>
  <si>
    <t xml:space="preserve">01244441157</t>
  </si>
  <si>
    <t xml:space="preserve">Mostafa Mahmoud</t>
  </si>
  <si>
    <t xml:space="preserve">01124329721</t>
  </si>
  <si>
    <t xml:space="preserve">01521141878</t>
  </si>
  <si>
    <t xml:space="preserve">01149818678</t>
  </si>
  <si>
    <t xml:space="preserve">آية محمود</t>
  </si>
  <si>
    <t xml:space="preserve">01029957181</t>
  </si>
  <si>
    <t xml:space="preserve">نور إبراهيم</t>
  </si>
  <si>
    <t xml:space="preserve">01282654146</t>
  </si>
  <si>
    <t xml:space="preserve">نور محمود</t>
  </si>
  <si>
    <t xml:space="preserve">01139610349</t>
  </si>
  <si>
    <t xml:space="preserve">01150955728</t>
  </si>
  <si>
    <t xml:space="preserve">Nada Mahmoud</t>
  </si>
  <si>
    <t xml:space="preserve">01072380131</t>
  </si>
  <si>
    <t xml:space="preserve">01141782226</t>
  </si>
  <si>
    <t xml:space="preserve">رنا سعد</t>
  </si>
  <si>
    <t xml:space="preserve">01576217694</t>
  </si>
  <si>
    <t xml:space="preserve">Ahmed Youssef</t>
  </si>
  <si>
    <t xml:space="preserve">01598282150</t>
  </si>
  <si>
    <t xml:space="preserve">Fatma Ibrahim</t>
  </si>
  <si>
    <t xml:space="preserve">01275043453</t>
  </si>
  <si>
    <t xml:space="preserve">01099673413</t>
  </si>
  <si>
    <t xml:space="preserve">هدى صلاح</t>
  </si>
  <si>
    <t xml:space="preserve">01576716091</t>
  </si>
  <si>
    <t xml:space="preserve">01281591950</t>
  </si>
  <si>
    <t xml:space="preserve">Aya Saad</t>
  </si>
  <si>
    <t xml:space="preserve">01266101043</t>
  </si>
  <si>
    <t xml:space="preserve">01030484333</t>
  </si>
  <si>
    <t xml:space="preserve">01017997408</t>
  </si>
  <si>
    <t xml:space="preserve">Hoda Ibrahim</t>
  </si>
  <si>
    <t xml:space="preserve">01094501957</t>
  </si>
  <si>
    <t xml:space="preserve">أحمد صلاح</t>
  </si>
  <si>
    <t xml:space="preserve">إسراء حسن</t>
  </si>
  <si>
    <t xml:space="preserve">01109327415</t>
  </si>
  <si>
    <t xml:space="preserve">01098800421</t>
  </si>
  <si>
    <t xml:space="preserve">Nada Hassan</t>
  </si>
  <si>
    <t xml:space="preserve">01163293919</t>
  </si>
  <si>
    <t xml:space="preserve">Mostafa Youssef</t>
  </si>
  <si>
    <t xml:space="preserve">Fatma Hassan</t>
  </si>
  <si>
    <t xml:space="preserve">01545568693</t>
  </si>
  <si>
    <t xml:space="preserve">هدى محمود</t>
  </si>
  <si>
    <t xml:space="preserve">01179216115</t>
  </si>
  <si>
    <t xml:space="preserve">01012639014</t>
  </si>
  <si>
    <t xml:space="preserve">دينا يوسف</t>
  </si>
  <si>
    <t xml:space="preserve">01106639977</t>
  </si>
  <si>
    <t xml:space="preserve">سارة فتحي</t>
  </si>
  <si>
    <t xml:space="preserve">01585016171</t>
  </si>
  <si>
    <t xml:space="preserve">عمر عادل</t>
  </si>
  <si>
    <t xml:space="preserve">01281703408</t>
  </si>
  <si>
    <t xml:space="preserve">01510557804</t>
  </si>
  <si>
    <t xml:space="preserve">ندى حسن</t>
  </si>
  <si>
    <t xml:space="preserve">01088685720</t>
  </si>
  <si>
    <t xml:space="preserve">01539306420</t>
  </si>
  <si>
    <t xml:space="preserve">01123048645</t>
  </si>
  <si>
    <t xml:space="preserve">01072126608</t>
  </si>
  <si>
    <t xml:space="preserve">Fatma Mahmoud</t>
  </si>
  <si>
    <t xml:space="preserve">01582912648</t>
  </si>
  <si>
    <t xml:space="preserve">سارة صلاح</t>
  </si>
  <si>
    <t xml:space="preserve">01501388117</t>
  </si>
  <si>
    <t xml:space="preserve">01511757453</t>
  </si>
  <si>
    <t xml:space="preserve">مصطفى عبدالله</t>
  </si>
  <si>
    <t xml:space="preserve">01136298543</t>
  </si>
  <si>
    <t xml:space="preserve">01111948101</t>
  </si>
  <si>
    <t xml:space="preserve">01059991853</t>
  </si>
  <si>
    <t xml:space="preserve">كريم رمضان</t>
  </si>
  <si>
    <t xml:space="preserve">01049316287</t>
  </si>
  <si>
    <t xml:space="preserve">Ahmed Hassan</t>
  </si>
  <si>
    <t xml:space="preserve">01595901734</t>
  </si>
  <si>
    <t xml:space="preserve">01290795519</t>
  </si>
  <si>
    <t xml:space="preserve">01276231598</t>
  </si>
  <si>
    <t xml:space="preserve">01055723801</t>
  </si>
  <si>
    <t xml:space="preserve">محمد صلاح</t>
  </si>
  <si>
    <t xml:space="preserve">01057531164</t>
  </si>
  <si>
    <t xml:space="preserve">محمد حسن</t>
  </si>
  <si>
    <t xml:space="preserve">01223241814</t>
  </si>
  <si>
    <t xml:space="preserve">Nada Youssef</t>
  </si>
  <si>
    <t xml:space="preserve">01155995984</t>
  </si>
  <si>
    <t xml:space="preserve">Ahmed Ibrahim</t>
  </si>
  <si>
    <t xml:space="preserve">01263284461</t>
  </si>
  <si>
    <t xml:space="preserve">01503780936</t>
  </si>
  <si>
    <t xml:space="preserve">عمر إبراهيم</t>
  </si>
  <si>
    <t xml:space="preserve">01105892073</t>
  </si>
  <si>
    <t xml:space="preserve">01097309376</t>
  </si>
  <si>
    <t xml:space="preserve">01204489090</t>
  </si>
  <si>
    <t xml:space="preserve">يوسف السيد</t>
  </si>
  <si>
    <t xml:space="preserve">01275986426</t>
  </si>
  <si>
    <t xml:space="preserve">إسراء خليل</t>
  </si>
  <si>
    <t xml:space="preserve">01132131355</t>
  </si>
  <si>
    <t xml:space="preserve">01052595774</t>
  </si>
  <si>
    <t xml:space="preserve">01196718168</t>
  </si>
  <si>
    <t xml:space="preserve">01520204750</t>
  </si>
  <si>
    <t xml:space="preserve">ندى يوسف</t>
  </si>
  <si>
    <t xml:space="preserve">01152745261</t>
  </si>
  <si>
    <t xml:space="preserve">إسراء عادل</t>
  </si>
  <si>
    <t xml:space="preserve">01178630876</t>
  </si>
  <si>
    <t xml:space="preserve">مريم رمضان</t>
  </si>
  <si>
    <t xml:space="preserve">01147066493</t>
  </si>
  <si>
    <t xml:space="preserve">أحمد السيد</t>
  </si>
  <si>
    <t xml:space="preserve">01081987207</t>
  </si>
  <si>
    <t xml:space="preserve">Hassan Mahmoud</t>
  </si>
  <si>
    <t xml:space="preserve">01236463083</t>
  </si>
  <si>
    <t xml:space="preserve">01005551351</t>
  </si>
  <si>
    <t xml:space="preserve">01117050043</t>
  </si>
  <si>
    <t xml:space="preserve">01043115071</t>
  </si>
  <si>
    <t xml:space="preserve">01197673638</t>
  </si>
  <si>
    <t xml:space="preserve">Mohamed Mahmoud</t>
  </si>
  <si>
    <t xml:space="preserve">01129718478</t>
  </si>
  <si>
    <t xml:space="preserve">Mona Ibrahim</t>
  </si>
  <si>
    <t xml:space="preserve">01065880990</t>
  </si>
  <si>
    <t xml:space="preserve">حسن إبراهيم</t>
  </si>
  <si>
    <t xml:space="preserve">01057817573</t>
  </si>
  <si>
    <t xml:space="preserve">Mohamed Youssef</t>
  </si>
  <si>
    <t xml:space="preserve">01262225762</t>
  </si>
  <si>
    <t xml:space="preserve">01175166816</t>
  </si>
  <si>
    <t xml:space="preserve">01172090599</t>
  </si>
  <si>
    <t xml:space="preserve">سارة حسن</t>
  </si>
  <si>
    <t xml:space="preserve">01527714645</t>
  </si>
  <si>
    <t xml:space="preserve">Aya Ibrahim</t>
  </si>
  <si>
    <t xml:space="preserve">01241972986</t>
  </si>
  <si>
    <t xml:space="preserve">ياسمين يوسف</t>
  </si>
  <si>
    <t xml:space="preserve">01518954648</t>
  </si>
  <si>
    <t xml:space="preserve">01547029670</t>
  </si>
  <si>
    <t xml:space="preserve">محمد خليل</t>
  </si>
  <si>
    <t xml:space="preserve">01141785406</t>
  </si>
  <si>
    <t xml:space="preserve">Esraa Youssef</t>
  </si>
  <si>
    <t xml:space="preserve">01241656216</t>
  </si>
  <si>
    <t xml:space="preserve">Nour Saad</t>
  </si>
  <si>
    <t xml:space="preserve">01171426460</t>
  </si>
  <si>
    <t xml:space="preserve">آية عادل</t>
  </si>
  <si>
    <t xml:space="preserve">01051244513</t>
  </si>
  <si>
    <t xml:space="preserve">01127876452</t>
  </si>
  <si>
    <t xml:space="preserve">01510642904</t>
  </si>
  <si>
    <t xml:space="preserve">01061877321</t>
  </si>
  <si>
    <t xml:space="preserve">Fatma Saad</t>
  </si>
  <si>
    <t xml:space="preserve">01122387732</t>
  </si>
  <si>
    <t xml:space="preserve">01235713359</t>
  </si>
  <si>
    <t xml:space="preserve">أحمد محمود</t>
  </si>
  <si>
    <t xml:space="preserve">01203231779</t>
  </si>
  <si>
    <t xml:space="preserve">Karim Mahmoud</t>
  </si>
  <si>
    <t xml:space="preserve">01132776752</t>
  </si>
  <si>
    <t xml:space="preserve">01272083835</t>
  </si>
  <si>
    <t xml:space="preserve">Mostafa Ibrahim</t>
  </si>
  <si>
    <t xml:space="preserve">01151908834</t>
  </si>
  <si>
    <t xml:space="preserve">Omar Ibrahim</t>
  </si>
  <si>
    <t xml:space="preserve">01501202749</t>
  </si>
  <si>
    <t xml:space="preserve">01572961937</t>
  </si>
  <si>
    <t xml:space="preserve">يوسف رمضان</t>
  </si>
  <si>
    <t xml:space="preserve">01521155851</t>
  </si>
  <si>
    <t xml:space="preserve">01022492941</t>
  </si>
  <si>
    <t xml:space="preserve">رنا السيد</t>
  </si>
  <si>
    <t xml:space="preserve">01151148088</t>
  </si>
  <si>
    <t xml:space="preserve">01024651431</t>
  </si>
  <si>
    <t xml:space="preserve">01549509693</t>
  </si>
  <si>
    <t xml:space="preserve">01563223430</t>
  </si>
  <si>
    <t xml:space="preserve">01256290719</t>
  </si>
  <si>
    <t xml:space="preserve">01583261183</t>
  </si>
  <si>
    <t xml:space="preserve">Karim Saad</t>
  </si>
  <si>
    <t xml:space="preserve">01157660347</t>
  </si>
  <si>
    <t xml:space="preserve">01117276144</t>
  </si>
  <si>
    <t xml:space="preserve">01239806196</t>
  </si>
  <si>
    <t xml:space="preserve">01046977772</t>
  </si>
  <si>
    <t xml:space="preserve">علي سعد</t>
  </si>
  <si>
    <t xml:space="preserve">01548571512</t>
  </si>
  <si>
    <t xml:space="preserve">Mariam Ibrahim</t>
  </si>
  <si>
    <t xml:space="preserve">01017384578</t>
  </si>
  <si>
    <t xml:space="preserve">Not Found</t>
  </si>
  <si>
    <t xml:space="preserve">Dina Youssef</t>
  </si>
  <si>
    <t xml:space="preserve">01024356719</t>
  </si>
  <si>
    <t xml:space="preserve">01518995808</t>
  </si>
  <si>
    <t xml:space="preserve">منى السيد</t>
  </si>
  <si>
    <t xml:space="preserve">01015782276</t>
  </si>
  <si>
    <t xml:space="preserve">Esraa Mahmoud</t>
  </si>
  <si>
    <t xml:space="preserve">01108450420</t>
  </si>
  <si>
    <t xml:space="preserve">01005585907</t>
  </si>
  <si>
    <t xml:space="preserve">01162395082</t>
  </si>
  <si>
    <t xml:space="preserve">سارة عبدالله</t>
  </si>
  <si>
    <t xml:space="preserve">01236418801</t>
  </si>
  <si>
    <t xml:space="preserve">01576296651</t>
  </si>
  <si>
    <t xml:space="preserve">01568741303</t>
  </si>
  <si>
    <t xml:space="preserve">01556069368</t>
  </si>
  <si>
    <t xml:space="preserve">محمد عادل</t>
  </si>
  <si>
    <t xml:space="preserve">01556280937</t>
  </si>
  <si>
    <t xml:space="preserve">01092377376</t>
  </si>
  <si>
    <t xml:space="preserve">Rana Ibrahim</t>
  </si>
  <si>
    <t xml:space="preserve">01175136156</t>
  </si>
  <si>
    <t xml:space="preserve">علي خليل</t>
  </si>
  <si>
    <t xml:space="preserve">مريم محمود</t>
  </si>
  <si>
    <t xml:space="preserve">01059669636</t>
  </si>
  <si>
    <t xml:space="preserve">علي صلاح</t>
  </si>
  <si>
    <t xml:space="preserve">مصطفى فتحي</t>
  </si>
  <si>
    <t xml:space="preserve">01235683082</t>
  </si>
  <si>
    <t xml:space="preserve">محمد سعد</t>
  </si>
  <si>
    <t xml:space="preserve">01112421657</t>
  </si>
  <si>
    <t xml:space="preserve">01171368539</t>
  </si>
  <si>
    <t xml:space="preserve">01583387572</t>
  </si>
  <si>
    <t xml:space="preserve">01541666548</t>
  </si>
  <si>
    <t xml:space="preserve">01097335570</t>
  </si>
  <si>
    <t xml:space="preserve">منى سعد</t>
  </si>
  <si>
    <t xml:space="preserve">01004166657</t>
  </si>
  <si>
    <t xml:space="preserve">01511220325</t>
  </si>
  <si>
    <t xml:space="preserve">ندى فتحي</t>
  </si>
  <si>
    <t xml:space="preserve">01268630671</t>
  </si>
  <si>
    <t xml:space="preserve">مصطفى خليل</t>
  </si>
  <si>
    <t xml:space="preserve">01012616566</t>
  </si>
  <si>
    <t xml:space="preserve">01196303314</t>
  </si>
  <si>
    <t xml:space="preserve">Mohamed Ibrahim</t>
  </si>
  <si>
    <t xml:space="preserve">01287408894</t>
  </si>
  <si>
    <t xml:space="preserve">مصطفى يوسف</t>
  </si>
  <si>
    <t xml:space="preserve">01552930986</t>
  </si>
  <si>
    <t xml:space="preserve">01156201038</t>
  </si>
  <si>
    <t xml:space="preserve">Yasmine Youssef</t>
  </si>
  <si>
    <t xml:space="preserve">01192407532</t>
  </si>
  <si>
    <t xml:space="preserve">01125430393</t>
  </si>
  <si>
    <t xml:space="preserve">01198622848</t>
  </si>
  <si>
    <t xml:space="preserve">علي إبراهيم</t>
  </si>
  <si>
    <t xml:space="preserve">01215240970</t>
  </si>
  <si>
    <t xml:space="preserve">علي رمضان</t>
  </si>
  <si>
    <t xml:space="preserve">01030012157</t>
  </si>
  <si>
    <t xml:space="preserve">ندى عادل</t>
  </si>
  <si>
    <t xml:space="preserve">01097040587</t>
  </si>
  <si>
    <t xml:space="preserve">01556048123</t>
  </si>
  <si>
    <t xml:space="preserve">Dina Saad</t>
  </si>
  <si>
    <t xml:space="preserve">01018200031</t>
  </si>
  <si>
    <t xml:space="preserve">01098071266</t>
  </si>
  <si>
    <t xml:space="preserve">كريم يوسف</t>
  </si>
  <si>
    <t xml:space="preserve">01079396415</t>
  </si>
  <si>
    <t xml:space="preserve">01061460235</t>
  </si>
  <si>
    <t xml:space="preserve">01557108629</t>
  </si>
  <si>
    <t xml:space="preserve">01164467738</t>
  </si>
  <si>
    <t xml:space="preserve">01008376281</t>
  </si>
  <si>
    <t xml:space="preserve">01262195478</t>
  </si>
  <si>
    <t xml:space="preserve">Rana Mahmoud</t>
  </si>
  <si>
    <t xml:space="preserve">01091011652</t>
  </si>
  <si>
    <t xml:space="preserve">Hoda Mahmoud</t>
  </si>
  <si>
    <t xml:space="preserve">01012907558</t>
  </si>
  <si>
    <t xml:space="preserve">حسن يوسف</t>
  </si>
  <si>
    <t xml:space="preserve">01128039777</t>
  </si>
  <si>
    <t xml:space="preserve">01108064100</t>
  </si>
  <si>
    <t xml:space="preserve">Yasmine Ibrahim</t>
  </si>
  <si>
    <t xml:space="preserve">01054139822</t>
  </si>
  <si>
    <t xml:space="preserve">ندى سعد</t>
  </si>
  <si>
    <t xml:space="preserve">01511018879</t>
  </si>
  <si>
    <t xml:space="preserve">01559078549</t>
  </si>
  <si>
    <t xml:space="preserve">01006802505</t>
  </si>
  <si>
    <t xml:space="preserve">01138943007</t>
  </si>
  <si>
    <t xml:space="preserve">01014872129</t>
  </si>
  <si>
    <t xml:space="preserve">عمر خليل</t>
  </si>
  <si>
    <t xml:space="preserve">01222748178</t>
  </si>
  <si>
    <t xml:space="preserve">Omar Youssef</t>
  </si>
  <si>
    <t xml:space="preserve">01237760730</t>
  </si>
  <si>
    <t xml:space="preserve">01213067253</t>
  </si>
  <si>
    <t xml:space="preserve">01055315257</t>
  </si>
  <si>
    <t xml:space="preserve">01079448116</t>
  </si>
  <si>
    <t xml:space="preserve">Mona Hassan</t>
  </si>
  <si>
    <t xml:space="preserve">01276811934</t>
  </si>
  <si>
    <t xml:space="preserve">01193719127</t>
  </si>
  <si>
    <t xml:space="preserve">01590633981</t>
  </si>
  <si>
    <t xml:space="preserve">01268249488</t>
  </si>
  <si>
    <t xml:space="preserve">01503228287</t>
  </si>
  <si>
    <t xml:space="preserve">01285323189</t>
  </si>
  <si>
    <t xml:space="preserve">01581874041</t>
  </si>
  <si>
    <t xml:space="preserve">عمر رمضان</t>
  </si>
  <si>
    <t xml:space="preserve">01566556335</t>
  </si>
  <si>
    <t xml:space="preserve">إسراء السيد</t>
  </si>
  <si>
    <t xml:space="preserve">01120397403</t>
  </si>
  <si>
    <t xml:space="preserve">01572462736</t>
  </si>
  <si>
    <t xml:space="preserve">01568128749</t>
  </si>
  <si>
    <t xml:space="preserve">01527449957</t>
  </si>
  <si>
    <t xml:space="preserve">01043359201</t>
  </si>
  <si>
    <t xml:space="preserve">01018444579</t>
  </si>
  <si>
    <t xml:space="preserve">Hoda Youssef</t>
  </si>
  <si>
    <t xml:space="preserve">ندى صلاح</t>
  </si>
  <si>
    <t xml:space="preserve">01221052956</t>
  </si>
  <si>
    <t xml:space="preserve">Nada Saad</t>
  </si>
  <si>
    <t xml:space="preserve">01100849550</t>
  </si>
  <si>
    <t xml:space="preserve">مريم فتحي</t>
  </si>
  <si>
    <t xml:space="preserve">01070412606</t>
  </si>
  <si>
    <t xml:space="preserve">01596420015</t>
  </si>
  <si>
    <t xml:space="preserve">01249720977</t>
  </si>
  <si>
    <t xml:space="preserve">Nour Hassan</t>
  </si>
  <si>
    <t xml:space="preserve">01593786711</t>
  </si>
  <si>
    <t xml:space="preserve">ياسمين السيد</t>
  </si>
  <si>
    <t xml:space="preserve">01283780842</t>
  </si>
  <si>
    <t xml:space="preserve">01088419363</t>
  </si>
  <si>
    <t xml:space="preserve">01041875316</t>
  </si>
  <si>
    <t xml:space="preserve">01254466920</t>
  </si>
  <si>
    <t xml:space="preserve">مصطفى محمود</t>
  </si>
  <si>
    <t xml:space="preserve">Karim Ibrahim</t>
  </si>
  <si>
    <t xml:space="preserve">01158808009</t>
  </si>
  <si>
    <t xml:space="preserve">مصطفى السيد</t>
  </si>
  <si>
    <t xml:space="preserve">01223885778</t>
  </si>
  <si>
    <t xml:space="preserve">01026610120</t>
  </si>
  <si>
    <t xml:space="preserve">01083138783</t>
  </si>
  <si>
    <t xml:space="preserve">ياسمين خليل</t>
  </si>
  <si>
    <t xml:space="preserve">01226227697</t>
  </si>
  <si>
    <t xml:space="preserve">01109359187</t>
  </si>
  <si>
    <t xml:space="preserve">01163666768</t>
  </si>
  <si>
    <t xml:space="preserve">01586777862</t>
  </si>
  <si>
    <t xml:space="preserve">01586440342</t>
  </si>
  <si>
    <t xml:space="preserve">01147134752</t>
  </si>
  <si>
    <t xml:space="preserve">01007167622</t>
  </si>
  <si>
    <t xml:space="preserve">نور فتحي</t>
  </si>
  <si>
    <t xml:space="preserve">01256886154</t>
  </si>
  <si>
    <t xml:space="preserve">مصطفى عادل</t>
  </si>
  <si>
    <t xml:space="preserve">01181096748</t>
  </si>
  <si>
    <t xml:space="preserve">عمر سعد</t>
  </si>
  <si>
    <t xml:space="preserve">01037760321</t>
  </si>
  <si>
    <t xml:space="preserve">حسن عادل</t>
  </si>
  <si>
    <t xml:space="preserve">01120942708</t>
  </si>
  <si>
    <t xml:space="preserve">01036715933</t>
  </si>
  <si>
    <t xml:space="preserve">آية حسن</t>
  </si>
  <si>
    <t xml:space="preserve">01544651009</t>
  </si>
  <si>
    <t xml:space="preserve">01255146295</t>
  </si>
  <si>
    <t xml:space="preserve">01245373210</t>
  </si>
  <si>
    <t xml:space="preserve">منى عبدالله</t>
  </si>
  <si>
    <t xml:space="preserve">01149133221</t>
  </si>
  <si>
    <t xml:space="preserve">حسن السيد</t>
  </si>
  <si>
    <t xml:space="preserve">01092261100</t>
  </si>
  <si>
    <t xml:space="preserve">رنا حسن</t>
  </si>
  <si>
    <t xml:space="preserve">01000755223</t>
  </si>
  <si>
    <t xml:space="preserve">دينا سعد</t>
  </si>
  <si>
    <t xml:space="preserve">01131880171</t>
  </si>
  <si>
    <t xml:space="preserve">01559379346</t>
  </si>
  <si>
    <t xml:space="preserve">01509577630</t>
  </si>
  <si>
    <t xml:space="preserve">01187280966</t>
  </si>
  <si>
    <t xml:space="preserve">01561969725</t>
  </si>
  <si>
    <t xml:space="preserve">كريم سعد</t>
  </si>
  <si>
    <t xml:space="preserve">01141398196</t>
  </si>
  <si>
    <t xml:space="preserve">دينا رمضان</t>
  </si>
  <si>
    <t xml:space="preserve">01032690535</t>
  </si>
  <si>
    <t xml:space="preserve">Sara Youssef</t>
  </si>
  <si>
    <t xml:space="preserve">01026729088</t>
  </si>
  <si>
    <t xml:space="preserve">01040601539</t>
  </si>
  <si>
    <t xml:space="preserve">هدى رمضان</t>
  </si>
  <si>
    <t xml:space="preserve">01592187917</t>
  </si>
  <si>
    <t xml:space="preserve">يوسف إبراهيم</t>
  </si>
  <si>
    <t xml:space="preserve">01267712977</t>
  </si>
  <si>
    <t xml:space="preserve">Hassan Saad</t>
  </si>
  <si>
    <t xml:space="preserve">01009544173</t>
  </si>
  <si>
    <t xml:space="preserve">منى يوسف</t>
  </si>
  <si>
    <t xml:space="preserve">01533184941</t>
  </si>
  <si>
    <t xml:space="preserve">Youssef Mahmoud</t>
  </si>
  <si>
    <t xml:space="preserve">01581664417</t>
  </si>
  <si>
    <t xml:space="preserve">01177385403</t>
  </si>
  <si>
    <t xml:space="preserve">حسن سعد</t>
  </si>
  <si>
    <t xml:space="preserve">01059743472</t>
  </si>
  <si>
    <t xml:space="preserve">Ali Hassan</t>
  </si>
  <si>
    <t xml:space="preserve">01067253938</t>
  </si>
  <si>
    <t xml:space="preserve">Mariam Saad</t>
  </si>
  <si>
    <t xml:space="preserve">01118248354</t>
  </si>
  <si>
    <t xml:space="preserve">يوسف صلاح</t>
  </si>
  <si>
    <t xml:space="preserve">01580069974</t>
  </si>
  <si>
    <t xml:space="preserve">حسن خليل</t>
  </si>
  <si>
    <t xml:space="preserve">01264323269</t>
  </si>
  <si>
    <t xml:space="preserve">01245972558</t>
  </si>
  <si>
    <t xml:space="preserve">01192046507</t>
  </si>
  <si>
    <t xml:space="preserve">Rana Youssef</t>
  </si>
  <si>
    <t xml:space="preserve">01514282841</t>
  </si>
  <si>
    <t xml:space="preserve">01183259626</t>
  </si>
  <si>
    <t xml:space="preserve">01594042203</t>
  </si>
  <si>
    <t xml:space="preserve">Ali Youssef</t>
  </si>
  <si>
    <t xml:space="preserve">01530751725</t>
  </si>
  <si>
    <t xml:space="preserve">01566873984</t>
  </si>
  <si>
    <t xml:space="preserve">01002298831</t>
  </si>
  <si>
    <t xml:space="preserve">01013269208</t>
  </si>
  <si>
    <t xml:space="preserve">01280534391</t>
  </si>
  <si>
    <t xml:space="preserve">01285200014</t>
  </si>
  <si>
    <t xml:space="preserve">علي حسن</t>
  </si>
  <si>
    <t xml:space="preserve">01132258551</t>
  </si>
  <si>
    <t xml:space="preserve">01180815602</t>
  </si>
  <si>
    <t xml:space="preserve">01046242745</t>
  </si>
  <si>
    <t xml:space="preserve">01507905341</t>
  </si>
  <si>
    <t xml:space="preserve">عمر يوسف</t>
  </si>
  <si>
    <t xml:space="preserve">01035182275</t>
  </si>
  <si>
    <t xml:space="preserve">01063959303</t>
  </si>
  <si>
    <t xml:space="preserve">01192166939</t>
  </si>
  <si>
    <t xml:space="preserve">01564398133</t>
  </si>
  <si>
    <t xml:space="preserve">كريم عادل</t>
  </si>
  <si>
    <t xml:space="preserve">01549220725</t>
  </si>
  <si>
    <t xml:space="preserve">01553625246</t>
  </si>
  <si>
    <t xml:space="preserve">ندى عبدالله</t>
  </si>
  <si>
    <t xml:space="preserve">01183457825</t>
  </si>
  <si>
    <t xml:space="preserve">01068880521</t>
  </si>
  <si>
    <t xml:space="preserve">01025946196</t>
  </si>
  <si>
    <t xml:space="preserve">01247460106</t>
  </si>
  <si>
    <t xml:space="preserve">01251217053</t>
  </si>
  <si>
    <t xml:space="preserve">01570631844</t>
  </si>
  <si>
    <t xml:space="preserve">01595857069</t>
  </si>
  <si>
    <t xml:space="preserve">01521800516</t>
  </si>
  <si>
    <t xml:space="preserve">01513125176</t>
  </si>
  <si>
    <t xml:space="preserve">01564483240</t>
  </si>
  <si>
    <t xml:space="preserve">فاطمة سعد</t>
  </si>
  <si>
    <t xml:space="preserve">01235571141</t>
  </si>
  <si>
    <t xml:space="preserve">Mohamed Saad</t>
  </si>
  <si>
    <t xml:space="preserve">01038825516</t>
  </si>
  <si>
    <t xml:space="preserve">01130149191</t>
  </si>
  <si>
    <t xml:space="preserve">01153630949</t>
  </si>
  <si>
    <t xml:space="preserve">01542628096</t>
  </si>
  <si>
    <t xml:space="preserve">01186468159</t>
  </si>
  <si>
    <t xml:space="preserve">01175473104</t>
  </si>
  <si>
    <t xml:space="preserve">01237736588</t>
  </si>
  <si>
    <t xml:space="preserve">01592351154</t>
  </si>
  <si>
    <t xml:space="preserve">01170557212</t>
  </si>
  <si>
    <t xml:space="preserve">01021593622</t>
  </si>
  <si>
    <t xml:space="preserve">Hassan Ibrahim</t>
  </si>
  <si>
    <t xml:space="preserve">01237398923</t>
  </si>
  <si>
    <t xml:space="preserve">01112672019</t>
  </si>
  <si>
    <t xml:space="preserve">01293157250</t>
  </si>
  <si>
    <t xml:space="preserve">01242778489</t>
  </si>
  <si>
    <t xml:space="preserve">01202512316</t>
  </si>
  <si>
    <t xml:space="preserve">01067138756</t>
  </si>
  <si>
    <t xml:space="preserve">01225569325</t>
  </si>
  <si>
    <t xml:space="preserve">01061713965</t>
  </si>
  <si>
    <t xml:space="preserve">01569635024</t>
  </si>
  <si>
    <t xml:space="preserve">سارة خليل</t>
  </si>
  <si>
    <t xml:space="preserve">01280876132</t>
  </si>
  <si>
    <t xml:space="preserve">01164004731</t>
  </si>
  <si>
    <t xml:space="preserve">01081683243</t>
  </si>
  <si>
    <t xml:space="preserve">01555324449</t>
  </si>
  <si>
    <t xml:space="preserve">01226249804</t>
  </si>
  <si>
    <t xml:space="preserve">01215057984</t>
  </si>
  <si>
    <t xml:space="preserve">01133965578</t>
  </si>
  <si>
    <t xml:space="preserve">01029652962</t>
  </si>
  <si>
    <t xml:space="preserve">نور عادل</t>
  </si>
  <si>
    <t xml:space="preserve">01024541310</t>
  </si>
  <si>
    <t xml:space="preserve">01160692261</t>
  </si>
  <si>
    <t xml:space="preserve">01531406106</t>
  </si>
  <si>
    <t xml:space="preserve">01201724286</t>
  </si>
  <si>
    <t xml:space="preserve">منى محمود</t>
  </si>
  <si>
    <t xml:space="preserve">01540733675</t>
  </si>
  <si>
    <t xml:space="preserve">01090557991</t>
  </si>
  <si>
    <t xml:space="preserve">رنا إبراهيم</t>
  </si>
  <si>
    <t xml:space="preserve">01163676786</t>
  </si>
  <si>
    <t xml:space="preserve">01141337697</t>
  </si>
  <si>
    <t xml:space="preserve">01140926161</t>
  </si>
  <si>
    <t xml:space="preserve">01026977288</t>
  </si>
  <si>
    <t xml:space="preserve">01045713274</t>
  </si>
  <si>
    <t xml:space="preserve">01015724269</t>
  </si>
  <si>
    <t xml:space="preserve">إسراء إبراهيم</t>
  </si>
  <si>
    <t xml:space="preserve">01210524816</t>
  </si>
  <si>
    <t xml:space="preserve">01219094743</t>
  </si>
  <si>
    <t xml:space="preserve">01506770176</t>
  </si>
  <si>
    <t xml:space="preserve">آية يوسف</t>
  </si>
  <si>
    <t xml:space="preserve">01244022651</t>
  </si>
  <si>
    <t xml:space="preserve">01542385904</t>
  </si>
  <si>
    <t xml:space="preserve">دينا حسن</t>
  </si>
  <si>
    <t xml:space="preserve">01111942543</t>
  </si>
  <si>
    <t xml:space="preserve">Cleaning Notes</t>
  </si>
  <si>
    <t xml:space="preserve">What was wrong with the raw file, what was done, and every assumption made.</t>
  </si>
  <si>
    <t xml:space="preserve">Row counts (from the raw-file audit)</t>
  </si>
  <si>
    <t xml:space="preserve">Item</t>
  </si>
  <si>
    <t xml:space="preserve">Rows</t>
  </si>
  <si>
    <t xml:space="preserve">Note</t>
  </si>
  <si>
    <t xml:space="preserve">Rows in raw file</t>
  </si>
  <si>
    <t xml:space="preserve">Value from the raw Excel file</t>
  </si>
  <si>
    <t xml:space="preserve">Exact duplicate rows found</t>
  </si>
  <si>
    <t xml:space="preserve">Duplicates are removed AFTER formatting is standardized</t>
  </si>
  <si>
    <t xml:space="preserve">Rows after cleaning</t>
  </si>
  <si>
    <t xml:space="preserve">Live count from the 'Cleaned Data' sheet</t>
  </si>
  <si>
    <t xml:space="preserve">Missing values left after cleaning</t>
  </si>
  <si>
    <t xml:space="preserve">Column</t>
  </si>
  <si>
    <t xml:space="preserve">Blank cells</t>
  </si>
  <si>
    <t xml:space="preserve">Decision</t>
  </si>
  <si>
    <t xml:space="preserve">Left blank. Unmapped values and the '-' placeholder are not guessed. These orders are excluded from the city table only.</t>
  </si>
  <si>
    <t xml:space="preserve">Left blank. A guessed quantity would silently change totals.</t>
  </si>
  <si>
    <t xml:space="preserve">Left blank. Orders without a price have no revenue and are skipped by the revenue formulas.</t>
  </si>
  <si>
    <t xml:space="preserve">Orders without revenue</t>
  </si>
  <si>
    <t xml:space="preserve">Revenue totals are therefore slightly understated, not wrong.</t>
  </si>
  <si>
    <t xml:space="preserve">Issues found and how each was handled</t>
  </si>
  <si>
    <t xml:space="preserve">What was done</t>
  </si>
  <si>
    <t xml:space="preserve">Mixed formats (ISO, D/M/Y, D-Mon-Y, dotted, real dates) all converted to one date type. Dotted dates can be read two ways; the reading that falls inside the file's date range was used. Ambiguous cases default to day-first.</t>
  </si>
  <si>
    <t xml:space="preserve">Arabic/English spellings, casing and abbreviations mapped to one English name per city.</t>
  </si>
  <si>
    <t xml:space="preserve">Text such as 'EGP 950', '950 جنيه' and '1,100' converted to numbers.</t>
  </si>
  <si>
    <t xml:space="preserve">Unified to the 11-digit local format; '+20' removed; lost leading zeros restored.</t>
  </si>
  <si>
    <t xml:space="preserve">Product / Payment / Status</t>
  </si>
  <si>
    <t xml:space="preserve">Casing and spelling unified (e.g. Tshirt -&gt; T-Shirt, COD -&gt; Cash On Delivery).</t>
  </si>
  <si>
    <t xml:space="preserve">The word 'two' converted to 2; placeholders left blank.</t>
  </si>
  <si>
    <t xml:space="preserve">Customer Name / Phone blanks</t>
  </si>
  <si>
    <t xml:space="preserve">Filled with a readable placeholder ('Not Found' / 'Not provided') because they are never used in a calculation.</t>
  </si>
  <si>
    <t xml:space="preserve">Data note: this practice project uses a simulated dataset that mimics a real messy export, so the business figures are illustrative.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</si>
</sst>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&quot; orders&quot;"/>
    <numFmt numFmtId="168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3F6F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F3F6FA"/>
      <rgbColor rgb="FF660066"/>
      <rgbColor rgb="FFFF8080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913A"/>
      <rgbColor rgb="FFFF6600"/>
      <rgbColor rgb="FF5B6675"/>
      <rgbColor rgb="FF969696"/>
      <rgbColor rgb="FF1F3A5F"/>
      <rgbColor rgb="FF1B9E8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 by Revenue (EGP)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Report!C13</c:f>
              <c:strCache>
                <c:ptCount val="1"/>
                <c:pt idx="0">
                  <c:v>Revenue (EGP)</c:v>
                </c:pt>
              </c:strCache>
            </c:strRef>
          </c:tx>
          <c:spPr>
            <a:solidFill>
              <a:srgbClr val="1b9e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Report!$B$14:$B$18</c:f>
              <c:strCache>
                <c:ptCount val="5"/>
                <c:pt idx="0">
                  <c:v>Jacket</c:v>
                </c:pt>
                <c:pt idx="1">
                  <c:v>Abaya</c:v>
                </c:pt>
                <c:pt idx="2">
                  <c:v>Sneakers</c:v>
                </c:pt>
                <c:pt idx="3">
                  <c:v>Dress</c:v>
                </c:pt>
                <c:pt idx="4">
                  <c:v>Jeans</c:v>
                </c:pt>
              </c:strCache>
            </c:strRef>
          </c:cat>
          <c:val>
            <c:numRef>
              <c:f>Report!$C$14:$C$18</c:f>
              <c:numCache>
                <c:formatCode>#,##0</c:formatCode>
                <c:ptCount val="5"/>
                <c:pt idx="0">
                  <c:v>66000</c:v>
                </c:pt>
                <c:pt idx="1">
                  <c:v>63000</c:v>
                </c:pt>
                <c:pt idx="2">
                  <c:v>56050</c:v>
                </c:pt>
                <c:pt idx="3">
                  <c:v>52500</c:v>
                </c:pt>
                <c:pt idx="4">
                  <c:v>36300</c:v>
                </c:pt>
              </c:numCache>
            </c:numRef>
          </c:val>
        </c:ser>
        <c:gapWidth val="150"/>
        <c:overlap val="0"/>
        <c:axId val="24862333"/>
        <c:axId val="38513756"/>
      </c:barChart>
      <c:catAx>
        <c:axId val="248623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13756"/>
        <c:crosses val="autoZero"/>
        <c:auto val="1"/>
        <c:lblAlgn val="ctr"/>
        <c:lblOffset val="100"/>
        <c:noMultiLvlLbl val="0"/>
      </c:catAx>
      <c:valAx>
        <c:axId val="38513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EGP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623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Report!B22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Report!$A$23:$A$29</c:f>
              <c:strCache>
                <c:ptCount val="7"/>
                <c:pt idx="0">
                  <c:v>Cairo</c:v>
                </c:pt>
                <c:pt idx="1">
                  <c:v>Alexandria</c:v>
                </c:pt>
                <c:pt idx="2">
                  <c:v>Giza</c:v>
                </c:pt>
                <c:pt idx="3">
                  <c:v>Sohag</c:v>
                </c:pt>
                <c:pt idx="4">
                  <c:v>Mansoura</c:v>
                </c:pt>
                <c:pt idx="5">
                  <c:v>Assiut</c:v>
                </c:pt>
                <c:pt idx="6">
                  <c:v>Tanta</c:v>
                </c:pt>
              </c:strCache>
            </c:strRef>
          </c:cat>
          <c:val>
            <c:numRef>
              <c:f>Report!$B$23:$B$29</c:f>
              <c:numCache>
                <c:formatCode>#,##0</c:formatCode>
                <c:ptCount val="7"/>
                <c:pt idx="0">
                  <c:v>118</c:v>
                </c:pt>
                <c:pt idx="1">
                  <c:v>88</c:v>
                </c:pt>
                <c:pt idx="2">
                  <c:v>88</c:v>
                </c:pt>
                <c:pt idx="3">
                  <c:v>41</c:v>
                </c:pt>
                <c:pt idx="4">
                  <c:v>37</c:v>
                </c:pt>
                <c:pt idx="5">
                  <c:v>34</c:v>
                </c:pt>
                <c:pt idx="6">
                  <c:v>24</c:v>
                </c:pt>
              </c:numCache>
            </c:numRef>
          </c:val>
        </c:ser>
        <c:gapWidth val="150"/>
        <c:overlap val="0"/>
        <c:axId val="45759034"/>
        <c:axId val="26470874"/>
      </c:barChart>
      <c:catAx>
        <c:axId val="45759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70874"/>
        <c:crosses val="autoZero"/>
        <c:auto val="1"/>
        <c:lblAlgn val="ctr"/>
        <c:lblOffset val="100"/>
        <c:noMultiLvlLbl val="0"/>
      </c:catAx>
      <c:valAx>
        <c:axId val="264708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590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(EGP)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Report!C34</c:f>
              <c:strCache>
                <c:ptCount val="1"/>
                <c:pt idx="0">
                  <c:v>Revenue (EGP)</c:v>
                </c:pt>
              </c:strCache>
            </c:strRef>
          </c:tx>
          <c:spPr>
            <a:solidFill>
              <a:srgbClr val="e891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Report!$A$35:$A$37</c:f>
              <c:strCache>
                <c:ptCount val="3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</c:strCache>
            </c:strRef>
          </c:cat>
          <c:val>
            <c:numRef>
              <c:f>Report!$C$35:$C$37</c:f>
              <c:numCache>
                <c:formatCode>#,##0</c:formatCode>
                <c:ptCount val="3"/>
                <c:pt idx="0">
                  <c:v>95100</c:v>
                </c:pt>
                <c:pt idx="1">
                  <c:v>133960</c:v>
                </c:pt>
                <c:pt idx="2">
                  <c:v>135150</c:v>
                </c:pt>
              </c:numCache>
            </c:numRef>
          </c:val>
        </c:ser>
        <c:gapWidth val="150"/>
        <c:overlap val="0"/>
        <c:axId val="48141721"/>
        <c:axId val="34173395"/>
      </c:barChart>
      <c:catAx>
        <c:axId val="481417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73395"/>
        <c:crosses val="autoZero"/>
        <c:auto val="1"/>
        <c:lblAlgn val="ctr"/>
        <c:lblOffset val="100"/>
        <c:noMultiLvlLbl val="0"/>
      </c:catAx>
      <c:valAx>
        <c:axId val="34173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EGP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417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145440</xdr:rowOff>
    </xdr:from>
    <xdr:to>
      <xdr:col>15</xdr:col>
      <xdr:colOff>75960</xdr:colOff>
      <xdr:row>16</xdr:row>
      <xdr:rowOff>178200</xdr:rowOff>
    </xdr:to>
    <xdr:graphicFrame>
      <xdr:nvGraphicFramePr>
        <xdr:cNvPr id="0" name="Chart 1"/>
        <xdr:cNvGraphicFramePr/>
      </xdr:nvGraphicFramePr>
      <xdr:xfrm>
        <a:off x="6532200" y="5716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145440</xdr:rowOff>
    </xdr:from>
    <xdr:to>
      <xdr:col>15</xdr:col>
      <xdr:colOff>75960</xdr:colOff>
      <xdr:row>32</xdr:row>
      <xdr:rowOff>177840</xdr:rowOff>
    </xdr:to>
    <xdr:graphicFrame>
      <xdr:nvGraphicFramePr>
        <xdr:cNvPr id="1" name="Chart 2"/>
        <xdr:cNvGraphicFramePr/>
      </xdr:nvGraphicFramePr>
      <xdr:xfrm>
        <a:off x="6532200" y="36194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145440</xdr:rowOff>
    </xdr:from>
    <xdr:to>
      <xdr:col>15</xdr:col>
      <xdr:colOff>75960</xdr:colOff>
      <xdr:row>48</xdr:row>
      <xdr:rowOff>178200</xdr:rowOff>
    </xdr:to>
    <xdr:graphicFrame>
      <xdr:nvGraphicFramePr>
        <xdr:cNvPr id="2" name="Chart 3"/>
        <xdr:cNvGraphicFramePr/>
      </xdr:nvGraphicFramePr>
      <xdr:xfrm>
        <a:off x="6532200" y="66675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f aca="false">COUNTA('Cleaned Data'!$A$2:$A$451)</f>
        <v>450</v>
      </c>
    </row>
    <row r="7" customFormat="false" ht="15" hidden="false" customHeight="false" outlineLevel="0" collapsed="false">
      <c r="A7" s="5" t="s">
        <v>6</v>
      </c>
      <c r="B7" s="6" t="n">
        <f aca="false">SUM('Cleaned Data'!$M$2:$M$451)</f>
        <v>364210</v>
      </c>
    </row>
    <row r="8" customFormat="false" ht="15" hidden="false" customHeight="false" outlineLevel="0" collapsed="false">
      <c r="A8" s="5" t="s">
        <v>7</v>
      </c>
      <c r="B8" s="6" t="n">
        <f aca="false">COUNTIF('Cleaned Data'!$K$2:$K$451,"Cancelled")+COUNTIF('Cleaned Data'!$K$2:$K$451,"Returned")</f>
        <v>136</v>
      </c>
    </row>
    <row r="9" customFormat="false" ht="15" hidden="false" customHeight="false" outlineLevel="0" collapsed="false">
      <c r="A9" s="5" t="s">
        <v>8</v>
      </c>
      <c r="B9" s="7" t="n">
        <f aca="false">B8/B6</f>
        <v>0.302222222222222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</row>
    <row r="14" customFormat="false" ht="15" hidden="false" customHeight="false" outlineLevel="0" collapsed="false">
      <c r="A14" s="8" t="n">
        <v>1</v>
      </c>
      <c r="B14" s="9" t="s">
        <v>16</v>
      </c>
      <c r="C14" s="10" t="n">
        <f aca="false">SUMIFS('Cleaned Data'!$M$2:$M$451,'Cleaned Data'!$F$2:$F$451,B14)</f>
        <v>66000</v>
      </c>
      <c r="D14" s="10" t="n">
        <f aca="false">SUMIFS('Cleaned Data'!$H$2:$H$451,'Cleaned Data'!$F$2:$F$451,B14)</f>
        <v>66</v>
      </c>
      <c r="E14" s="10" t="n">
        <f aca="false">COUNTIFS('Cleaned Data'!$F$2:$F$451,B14)</f>
        <v>46</v>
      </c>
    </row>
    <row r="15" customFormat="false" ht="15" hidden="false" customHeight="false" outlineLevel="0" collapsed="false">
      <c r="A15" s="8" t="n">
        <v>2</v>
      </c>
      <c r="B15" s="9" t="s">
        <v>17</v>
      </c>
      <c r="C15" s="10" t="n">
        <f aca="false">SUMIFS('Cleaned Data'!$M$2:$M$451,'Cleaned Data'!$F$2:$F$451,B15)</f>
        <v>63000</v>
      </c>
      <c r="D15" s="10" t="n">
        <f aca="false">SUMIFS('Cleaned Data'!$H$2:$H$451,'Cleaned Data'!$F$2:$F$451,B15)</f>
        <v>73</v>
      </c>
      <c r="E15" s="10" t="n">
        <f aca="false">COUNTIFS('Cleaned Data'!$F$2:$F$451,B15)</f>
        <v>47</v>
      </c>
    </row>
    <row r="16" customFormat="false" ht="15" hidden="false" customHeight="false" outlineLevel="0" collapsed="false">
      <c r="A16" s="8" t="n">
        <v>3</v>
      </c>
      <c r="B16" s="9" t="s">
        <v>18</v>
      </c>
      <c r="C16" s="10" t="n">
        <f aca="false">SUMIFS('Cleaned Data'!$M$2:$M$451,'Cleaned Data'!$F$2:$F$451,B16)</f>
        <v>56050</v>
      </c>
      <c r="D16" s="10" t="n">
        <f aca="false">SUMIFS('Cleaned Data'!$H$2:$H$451,'Cleaned Data'!$F$2:$F$451,B16)</f>
        <v>59</v>
      </c>
      <c r="E16" s="10" t="n">
        <f aca="false">COUNTIFS('Cleaned Data'!$F$2:$F$451,B16)</f>
        <v>43</v>
      </c>
    </row>
    <row r="17" customFormat="false" ht="15" hidden="false" customHeight="false" outlineLevel="0" collapsed="false">
      <c r="A17" s="8" t="n">
        <v>4</v>
      </c>
      <c r="B17" s="9" t="s">
        <v>19</v>
      </c>
      <c r="C17" s="10" t="n">
        <f aca="false">SUMIFS('Cleaned Data'!$M$2:$M$451,'Cleaned Data'!$F$2:$F$451,B17)</f>
        <v>52500</v>
      </c>
      <c r="D17" s="10" t="n">
        <f aca="false">SUMIFS('Cleaned Data'!$H$2:$H$451,'Cleaned Data'!$F$2:$F$451,B17)</f>
        <v>76</v>
      </c>
      <c r="E17" s="10" t="n">
        <f aca="false">COUNTIFS('Cleaned Data'!$F$2:$F$451,B17)</f>
        <v>52</v>
      </c>
    </row>
    <row r="18" customFormat="false" ht="15" hidden="false" customHeight="false" outlineLevel="0" collapsed="false">
      <c r="A18" s="8" t="n">
        <v>5</v>
      </c>
      <c r="B18" s="9" t="s">
        <v>20</v>
      </c>
      <c r="C18" s="10" t="n">
        <f aca="false">SUMIFS('Cleaned Data'!$M$2:$M$451,'Cleaned Data'!$F$2:$F$451,B18)</f>
        <v>36300</v>
      </c>
      <c r="D18" s="10" t="n">
        <f aca="false">SUMIFS('Cleaned Data'!$H$2:$H$451,'Cleaned Data'!$F$2:$F$451,B18)</f>
        <v>69</v>
      </c>
      <c r="E18" s="10" t="n">
        <f aca="false">COUNTIFS('Cleaned Data'!$F$2:$F$451,B18)</f>
        <v>44</v>
      </c>
    </row>
    <row r="20" customFormat="false" ht="15" hidden="false" customHeight="false" outlineLevel="0" collapsed="false">
      <c r="A20" s="3" t="s">
        <v>21</v>
      </c>
    </row>
    <row r="21" customFormat="false" ht="15" hidden="false" customHeight="false" outlineLevel="0" collapsed="false">
      <c r="A21" s="2" t="s">
        <v>22</v>
      </c>
    </row>
    <row r="22" customFormat="false" ht="15" hidden="false" customHeight="false" outlineLevel="0" collapsed="false">
      <c r="A22" s="4" t="s">
        <v>23</v>
      </c>
      <c r="B22" s="4" t="s">
        <v>15</v>
      </c>
      <c r="C22" s="4" t="s">
        <v>13</v>
      </c>
    </row>
    <row r="23" customFormat="false" ht="15" hidden="false" customHeight="false" outlineLevel="0" collapsed="false">
      <c r="A23" s="9" t="s">
        <v>24</v>
      </c>
      <c r="B23" s="10" t="n">
        <f aca="false">COUNTIFS('Cleaned Data'!$E$2:$E$451,A23)</f>
        <v>118</v>
      </c>
      <c r="C23" s="10" t="n">
        <f aca="false">SUMIFS('Cleaned Data'!$M$2:$M$451,'Cleaned Data'!$E$2:$E$451,A23)</f>
        <v>95090</v>
      </c>
    </row>
    <row r="24" customFormat="false" ht="15" hidden="false" customHeight="false" outlineLevel="0" collapsed="false">
      <c r="A24" s="9" t="s">
        <v>25</v>
      </c>
      <c r="B24" s="10" t="n">
        <f aca="false">COUNTIFS('Cleaned Data'!$E$2:$E$451,A24)</f>
        <v>88</v>
      </c>
      <c r="C24" s="10" t="n">
        <f aca="false">SUMIFS('Cleaned Data'!$M$2:$M$451,'Cleaned Data'!$E$2:$E$451,A24)</f>
        <v>68950</v>
      </c>
    </row>
    <row r="25" customFormat="false" ht="15" hidden="false" customHeight="false" outlineLevel="0" collapsed="false">
      <c r="A25" s="9" t="s">
        <v>26</v>
      </c>
      <c r="B25" s="10" t="n">
        <f aca="false">COUNTIFS('Cleaned Data'!$E$2:$E$451,A25)</f>
        <v>88</v>
      </c>
      <c r="C25" s="10" t="n">
        <f aca="false">SUMIFS('Cleaned Data'!$M$2:$M$451,'Cleaned Data'!$E$2:$E$451,A25)</f>
        <v>69280</v>
      </c>
    </row>
    <row r="26" customFormat="false" ht="15" hidden="false" customHeight="false" outlineLevel="0" collapsed="false">
      <c r="A26" s="9" t="s">
        <v>27</v>
      </c>
      <c r="B26" s="10" t="n">
        <f aca="false">COUNTIFS('Cleaned Data'!$E$2:$E$451,A26)</f>
        <v>41</v>
      </c>
      <c r="C26" s="10" t="n">
        <f aca="false">SUMIFS('Cleaned Data'!$M$2:$M$451,'Cleaned Data'!$E$2:$E$451,A26)</f>
        <v>34530</v>
      </c>
    </row>
    <row r="27" customFormat="false" ht="15" hidden="false" customHeight="false" outlineLevel="0" collapsed="false">
      <c r="A27" s="9" t="s">
        <v>28</v>
      </c>
      <c r="B27" s="10" t="n">
        <f aca="false">COUNTIFS('Cleaned Data'!$E$2:$E$451,A27)</f>
        <v>37</v>
      </c>
      <c r="C27" s="10" t="n">
        <f aca="false">SUMIFS('Cleaned Data'!$M$2:$M$451,'Cleaned Data'!$E$2:$E$451,A27)</f>
        <v>25970</v>
      </c>
    </row>
    <row r="28" customFormat="false" ht="15" hidden="false" customHeight="false" outlineLevel="0" collapsed="false">
      <c r="A28" s="9" t="s">
        <v>29</v>
      </c>
      <c r="B28" s="10" t="n">
        <f aca="false">COUNTIFS('Cleaned Data'!$E$2:$E$451,A28)</f>
        <v>34</v>
      </c>
      <c r="C28" s="10" t="n">
        <f aca="false">SUMIFS('Cleaned Data'!$M$2:$M$451,'Cleaned Data'!$E$2:$E$451,A28)</f>
        <v>34760</v>
      </c>
    </row>
    <row r="29" customFormat="false" ht="15" hidden="false" customHeight="false" outlineLevel="0" collapsed="false">
      <c r="A29" s="9" t="s">
        <v>30</v>
      </c>
      <c r="B29" s="10" t="n">
        <f aca="false">COUNTIFS('Cleaned Data'!$E$2:$E$451,A29)</f>
        <v>24</v>
      </c>
      <c r="C29" s="10" t="n">
        <f aca="false">SUMIFS('Cleaned Data'!$M$2:$M$451,'Cleaned Data'!$E$2:$E$451,A29)</f>
        <v>18690</v>
      </c>
    </row>
    <row r="30" customFormat="false" ht="15" hidden="false" customHeight="false" outlineLevel="0" collapsed="false">
      <c r="A30" s="11" t="s">
        <v>31</v>
      </c>
      <c r="B30" s="11" t="str">
        <f aca="false">INDEX(A23:A29,MATCH(MAX(B23:B29),B23:B29,0))</f>
        <v>Cairo</v>
      </c>
      <c r="C30" s="12" t="n">
        <f aca="false">MAX(B23:B29)</f>
        <v>118</v>
      </c>
    </row>
    <row r="33" customFormat="false" ht="15" hidden="false" customHeight="false" outlineLevel="0" collapsed="false">
      <c r="A33" s="3" t="s">
        <v>32</v>
      </c>
    </row>
    <row r="34" customFormat="false" ht="15" hidden="false" customHeight="false" outlineLevel="0" collapsed="false">
      <c r="A34" s="4" t="s">
        <v>33</v>
      </c>
      <c r="B34" s="4" t="s">
        <v>15</v>
      </c>
      <c r="C34" s="4" t="s">
        <v>13</v>
      </c>
      <c r="D34" s="4" t="s">
        <v>14</v>
      </c>
    </row>
    <row r="35" customFormat="false" ht="15" hidden="false" customHeight="false" outlineLevel="0" collapsed="false">
      <c r="A35" s="9" t="s">
        <v>34</v>
      </c>
      <c r="B35" s="10" t="n">
        <f aca="false">COUNTIFS('Cleaned Data'!$L$2:$L$451,A35)</f>
        <v>119</v>
      </c>
      <c r="C35" s="10" t="n">
        <f aca="false">SUMIFS('Cleaned Data'!$M$2:$M$451,'Cleaned Data'!$L$2:$L$451,A35)</f>
        <v>95100</v>
      </c>
      <c r="D35" s="10" t="n">
        <f aca="false">SUMIFS('Cleaned Data'!$H$2:$H$451,'Cleaned Data'!$L$2:$L$451,A35)</f>
        <v>180</v>
      </c>
    </row>
    <row r="36" customFormat="false" ht="15" hidden="false" customHeight="false" outlineLevel="0" collapsed="false">
      <c r="A36" s="9" t="s">
        <v>35</v>
      </c>
      <c r="B36" s="10" t="n">
        <f aca="false">COUNTIFS('Cleaned Data'!$L$2:$L$451,A36)</f>
        <v>167</v>
      </c>
      <c r="C36" s="10" t="n">
        <f aca="false">SUMIFS('Cleaned Data'!$M$2:$M$451,'Cleaned Data'!$L$2:$L$451,A36)</f>
        <v>133960</v>
      </c>
      <c r="D36" s="10" t="n">
        <f aca="false">SUMIFS('Cleaned Data'!$H$2:$H$451,'Cleaned Data'!$L$2:$L$451,A36)</f>
        <v>250</v>
      </c>
    </row>
    <row r="37" customFormat="false" ht="15" hidden="false" customHeight="false" outlineLevel="0" collapsed="false">
      <c r="A37" s="9" t="s">
        <v>36</v>
      </c>
      <c r="B37" s="10" t="n">
        <f aca="false">COUNTIFS('Cleaned Data'!$L$2:$L$451,A37)</f>
        <v>164</v>
      </c>
      <c r="C37" s="10" t="n">
        <f aca="false">SUMIFS('Cleaned Data'!$M$2:$M$451,'Cleaned Data'!$L$2:$L$451,A37)</f>
        <v>135150</v>
      </c>
      <c r="D37" s="10" t="n">
        <f aca="false">SUMIFS('Cleaned Data'!$H$2:$H$451,'Cleaned Data'!$L$2:$L$451,A37)</f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6"/>
    <col collapsed="false" customWidth="true" hidden="false" outlineLevel="0" max="9" min="9" style="0" width="9"/>
    <col collapsed="false" customWidth="true" hidden="false" outlineLevel="0" max="10" min="10" style="0" width="17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4" t="s">
        <v>37</v>
      </c>
      <c r="B1" s="4" t="s">
        <v>38</v>
      </c>
      <c r="C1" s="4" t="s">
        <v>39</v>
      </c>
      <c r="D1" s="4" t="s">
        <v>40</v>
      </c>
      <c r="E1" s="4" t="s">
        <v>23</v>
      </c>
      <c r="F1" s="4" t="s">
        <v>12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33</v>
      </c>
      <c r="M1" s="4" t="s">
        <v>46</v>
      </c>
    </row>
    <row r="2" customFormat="false" ht="15" hidden="false" customHeight="false" outlineLevel="0" collapsed="false">
      <c r="A2" s="13" t="n">
        <v>1032</v>
      </c>
      <c r="B2" s="14" t="n">
        <v>46199</v>
      </c>
      <c r="C2" s="13" t="s">
        <v>47</v>
      </c>
      <c r="D2" s="13" t="s">
        <v>48</v>
      </c>
      <c r="E2" s="13" t="s">
        <v>24</v>
      </c>
      <c r="F2" s="13" t="s">
        <v>49</v>
      </c>
      <c r="G2" s="13" t="s">
        <v>50</v>
      </c>
      <c r="H2" s="13" t="n">
        <v>2</v>
      </c>
      <c r="I2" s="15" t="n">
        <v>120</v>
      </c>
      <c r="J2" s="13" t="s">
        <v>51</v>
      </c>
      <c r="K2" s="13" t="s">
        <v>52</v>
      </c>
      <c r="L2" s="13" t="s">
        <v>34</v>
      </c>
      <c r="M2" s="15" t="n">
        <f aca="false">IF(AND(ISNUMBER(H2),ISNUMBER(I2)),H2*I2,"")</f>
        <v>240</v>
      </c>
    </row>
    <row r="3" customFormat="false" ht="15" hidden="false" customHeight="false" outlineLevel="0" collapsed="false">
      <c r="A3" s="13" t="n">
        <v>1222</v>
      </c>
      <c r="B3" s="14" t="n">
        <v>46238</v>
      </c>
      <c r="C3" s="13" t="s">
        <v>53</v>
      </c>
      <c r="D3" s="13" t="s">
        <v>54</v>
      </c>
      <c r="E3" s="13" t="s">
        <v>27</v>
      </c>
      <c r="F3" s="13" t="s">
        <v>55</v>
      </c>
      <c r="G3" s="13" t="s">
        <v>56</v>
      </c>
      <c r="H3" s="13" t="n">
        <v>1</v>
      </c>
      <c r="I3" s="15" t="n">
        <v>450</v>
      </c>
      <c r="J3" s="13" t="s">
        <v>57</v>
      </c>
      <c r="K3" s="13" t="s">
        <v>58</v>
      </c>
      <c r="L3" s="13" t="s">
        <v>36</v>
      </c>
      <c r="M3" s="15" t="n">
        <f aca="false">IF(AND(ISNUMBER(H3),ISNUMBER(I3)),H3*I3,"")</f>
        <v>450</v>
      </c>
    </row>
    <row r="4" customFormat="false" ht="15" hidden="false" customHeight="false" outlineLevel="0" collapsed="false">
      <c r="A4" s="13" t="n">
        <v>1301</v>
      </c>
      <c r="B4" s="14" t="n">
        <v>46204</v>
      </c>
      <c r="C4" s="13" t="s">
        <v>59</v>
      </c>
      <c r="D4" s="13" t="s">
        <v>60</v>
      </c>
      <c r="E4" s="13" t="s">
        <v>25</v>
      </c>
      <c r="F4" s="13" t="s">
        <v>55</v>
      </c>
      <c r="G4" s="13" t="s">
        <v>56</v>
      </c>
      <c r="H4" s="13" t="n">
        <v>1</v>
      </c>
      <c r="I4" s="15" t="n">
        <v>450</v>
      </c>
      <c r="J4" s="13" t="s">
        <v>57</v>
      </c>
      <c r="K4" s="13" t="s">
        <v>58</v>
      </c>
      <c r="L4" s="13" t="s">
        <v>35</v>
      </c>
      <c r="M4" s="15" t="n">
        <f aca="false">IF(AND(ISNUMBER(H4),ISNUMBER(I4)),H4*I4,"")</f>
        <v>450</v>
      </c>
    </row>
    <row r="5" customFormat="false" ht="15" hidden="false" customHeight="false" outlineLevel="0" collapsed="false">
      <c r="A5" s="13" t="n">
        <v>1270</v>
      </c>
      <c r="B5" s="14" t="n">
        <v>46259</v>
      </c>
      <c r="C5" s="13" t="s">
        <v>61</v>
      </c>
      <c r="D5" s="13" t="s">
        <v>62</v>
      </c>
      <c r="E5" s="13" t="s">
        <v>26</v>
      </c>
      <c r="F5" s="13" t="s">
        <v>18</v>
      </c>
      <c r="G5" s="13" t="s">
        <v>63</v>
      </c>
      <c r="H5" s="13" t="n">
        <v>2</v>
      </c>
      <c r="I5" s="15" t="n">
        <v>950</v>
      </c>
      <c r="J5" s="13" t="s">
        <v>64</v>
      </c>
      <c r="K5" s="13" t="s">
        <v>58</v>
      </c>
      <c r="L5" s="13" t="s">
        <v>36</v>
      </c>
      <c r="M5" s="15" t="n">
        <f aca="false">IF(AND(ISNUMBER(H5),ISNUMBER(I5)),H5*I5,"")</f>
        <v>1900</v>
      </c>
    </row>
    <row r="6" customFormat="false" ht="15" hidden="false" customHeight="false" outlineLevel="0" collapsed="false">
      <c r="A6" s="13" t="n">
        <v>1001</v>
      </c>
      <c r="B6" s="14" t="n">
        <v>46177</v>
      </c>
      <c r="C6" s="13" t="s">
        <v>65</v>
      </c>
      <c r="D6" s="13" t="s">
        <v>66</v>
      </c>
      <c r="E6" s="13"/>
      <c r="F6" s="13" t="s">
        <v>49</v>
      </c>
      <c r="G6" s="13" t="s">
        <v>50</v>
      </c>
      <c r="H6" s="13" t="n">
        <v>1</v>
      </c>
      <c r="I6" s="15" t="n">
        <v>120</v>
      </c>
      <c r="J6" s="13" t="s">
        <v>57</v>
      </c>
      <c r="K6" s="13" t="s">
        <v>58</v>
      </c>
      <c r="L6" s="13" t="s">
        <v>34</v>
      </c>
      <c r="M6" s="15" t="n">
        <f aca="false">IF(AND(ISNUMBER(H6),ISNUMBER(I6)),H6*I6,"")</f>
        <v>120</v>
      </c>
    </row>
    <row r="7" customFormat="false" ht="15" hidden="false" customHeight="false" outlineLevel="0" collapsed="false">
      <c r="A7" s="13" t="n">
        <v>1387</v>
      </c>
      <c r="B7" s="14" t="n">
        <v>46225</v>
      </c>
      <c r="C7" s="13" t="s">
        <v>67</v>
      </c>
      <c r="D7" s="13" t="s">
        <v>68</v>
      </c>
      <c r="E7" s="13" t="s">
        <v>25</v>
      </c>
      <c r="F7" s="13" t="s">
        <v>18</v>
      </c>
      <c r="G7" s="13" t="s">
        <v>63</v>
      </c>
      <c r="H7" s="13" t="n">
        <v>1</v>
      </c>
      <c r="I7" s="15" t="n">
        <v>950</v>
      </c>
      <c r="J7" s="13" t="s">
        <v>51</v>
      </c>
      <c r="K7" s="13" t="s">
        <v>52</v>
      </c>
      <c r="L7" s="13" t="s">
        <v>35</v>
      </c>
      <c r="M7" s="15" t="n">
        <f aca="false">IF(AND(ISNUMBER(H7),ISNUMBER(I7)),H7*I7,"")</f>
        <v>950</v>
      </c>
    </row>
    <row r="8" customFormat="false" ht="15" hidden="false" customHeight="false" outlineLevel="0" collapsed="false">
      <c r="A8" s="13" t="n">
        <v>1446</v>
      </c>
      <c r="B8" s="14" t="n">
        <v>46192</v>
      </c>
      <c r="C8" s="13" t="s">
        <v>69</v>
      </c>
      <c r="D8" s="13" t="s">
        <v>70</v>
      </c>
      <c r="E8" s="13" t="s">
        <v>24</v>
      </c>
      <c r="F8" s="13" t="s">
        <v>20</v>
      </c>
      <c r="G8" s="13" t="s">
        <v>71</v>
      </c>
      <c r="H8" s="13" t="n">
        <v>2</v>
      </c>
      <c r="I8" s="15" t="n">
        <v>550</v>
      </c>
      <c r="J8" s="13" t="s">
        <v>72</v>
      </c>
      <c r="K8" s="13" t="s">
        <v>58</v>
      </c>
      <c r="L8" s="13" t="s">
        <v>34</v>
      </c>
      <c r="M8" s="15" t="n">
        <f aca="false">IF(AND(ISNUMBER(H8),ISNUMBER(I8)),H8*I8,"")</f>
        <v>1100</v>
      </c>
    </row>
    <row r="9" customFormat="false" ht="15" hidden="false" customHeight="false" outlineLevel="0" collapsed="false">
      <c r="A9" s="13" t="n">
        <v>1383</v>
      </c>
      <c r="B9" s="14" t="n">
        <v>46243</v>
      </c>
      <c r="C9" s="13" t="s">
        <v>73</v>
      </c>
      <c r="D9" s="13" t="s">
        <v>74</v>
      </c>
      <c r="E9" s="13" t="s">
        <v>24</v>
      </c>
      <c r="F9" s="13" t="s">
        <v>18</v>
      </c>
      <c r="G9" s="13" t="s">
        <v>63</v>
      </c>
      <c r="H9" s="13" t="n">
        <v>1</v>
      </c>
      <c r="I9" s="15" t="n">
        <v>950</v>
      </c>
      <c r="J9" s="13" t="s">
        <v>57</v>
      </c>
      <c r="K9" s="13" t="s">
        <v>75</v>
      </c>
      <c r="L9" s="13" t="s">
        <v>36</v>
      </c>
      <c r="M9" s="15" t="n">
        <f aca="false">IF(AND(ISNUMBER(H9),ISNUMBER(I9)),H9*I9,"")</f>
        <v>950</v>
      </c>
    </row>
    <row r="10" customFormat="false" ht="15" hidden="false" customHeight="false" outlineLevel="0" collapsed="false">
      <c r="A10" s="13" t="n">
        <v>1425</v>
      </c>
      <c r="B10" s="14" t="n">
        <v>46257</v>
      </c>
      <c r="C10" s="13" t="s">
        <v>76</v>
      </c>
      <c r="D10" s="13" t="s">
        <v>77</v>
      </c>
      <c r="E10" s="13" t="s">
        <v>28</v>
      </c>
      <c r="F10" s="13" t="s">
        <v>55</v>
      </c>
      <c r="G10" s="13" t="s">
        <v>56</v>
      </c>
      <c r="H10" s="13" t="n">
        <v>1</v>
      </c>
      <c r="I10" s="15" t="n">
        <v>450</v>
      </c>
      <c r="J10" s="13" t="s">
        <v>72</v>
      </c>
      <c r="K10" s="13" t="s">
        <v>75</v>
      </c>
      <c r="L10" s="13" t="s">
        <v>36</v>
      </c>
      <c r="M10" s="15" t="n">
        <f aca="false">IF(AND(ISNUMBER(H10),ISNUMBER(I10)),H10*I10,"")</f>
        <v>450</v>
      </c>
    </row>
    <row r="11" customFormat="false" ht="15" hidden="false" customHeight="false" outlineLevel="0" collapsed="false">
      <c r="A11" s="13" t="n">
        <v>1217</v>
      </c>
      <c r="B11" s="14" t="n">
        <v>46192</v>
      </c>
      <c r="C11" s="13" t="s">
        <v>59</v>
      </c>
      <c r="D11" s="13" t="s">
        <v>78</v>
      </c>
      <c r="E11" s="13" t="s">
        <v>25</v>
      </c>
      <c r="F11" s="13" t="s">
        <v>18</v>
      </c>
      <c r="G11" s="13" t="s">
        <v>63</v>
      </c>
      <c r="H11" s="13" t="n">
        <v>1</v>
      </c>
      <c r="I11" s="15" t="n">
        <v>950</v>
      </c>
      <c r="J11" s="13" t="s">
        <v>64</v>
      </c>
      <c r="K11" s="13" t="s">
        <v>58</v>
      </c>
      <c r="L11" s="13" t="s">
        <v>34</v>
      </c>
      <c r="M11" s="15" t="n">
        <f aca="false">IF(AND(ISNUMBER(H11),ISNUMBER(I11)),H11*I11,"")</f>
        <v>950</v>
      </c>
    </row>
    <row r="12" customFormat="false" ht="15" hidden="false" customHeight="false" outlineLevel="0" collapsed="false">
      <c r="A12" s="13" t="n">
        <v>1125</v>
      </c>
      <c r="B12" s="14" t="n">
        <v>46213</v>
      </c>
      <c r="C12" s="13" t="s">
        <v>79</v>
      </c>
      <c r="D12" s="13" t="s">
        <v>68</v>
      </c>
      <c r="E12" s="13" t="s">
        <v>24</v>
      </c>
      <c r="F12" s="13" t="s">
        <v>55</v>
      </c>
      <c r="G12" s="13" t="s">
        <v>56</v>
      </c>
      <c r="H12" s="13" t="n">
        <v>3</v>
      </c>
      <c r="I12" s="15" t="n">
        <v>450</v>
      </c>
      <c r="J12" s="13" t="s">
        <v>72</v>
      </c>
      <c r="K12" s="13" t="s">
        <v>80</v>
      </c>
      <c r="L12" s="13" t="s">
        <v>35</v>
      </c>
      <c r="M12" s="15" t="n">
        <f aca="false">IF(AND(ISNUMBER(H12),ISNUMBER(I12)),H12*I12,"")</f>
        <v>1350</v>
      </c>
    </row>
    <row r="13" customFormat="false" ht="15" hidden="false" customHeight="false" outlineLevel="0" collapsed="false">
      <c r="A13" s="13" t="n">
        <v>1336</v>
      </c>
      <c r="B13" s="14" t="n">
        <v>46220</v>
      </c>
      <c r="C13" s="13" t="s">
        <v>61</v>
      </c>
      <c r="D13" s="13" t="s">
        <v>81</v>
      </c>
      <c r="E13" s="13" t="s">
        <v>24</v>
      </c>
      <c r="F13" s="13" t="s">
        <v>18</v>
      </c>
      <c r="G13" s="13" t="s">
        <v>63</v>
      </c>
      <c r="H13" s="13" t="n">
        <v>1</v>
      </c>
      <c r="I13" s="15" t="n">
        <v>950</v>
      </c>
      <c r="J13" s="13" t="s">
        <v>51</v>
      </c>
      <c r="K13" s="13" t="s">
        <v>52</v>
      </c>
      <c r="L13" s="13" t="s">
        <v>35</v>
      </c>
      <c r="M13" s="15" t="n">
        <f aca="false">IF(AND(ISNUMBER(H13),ISNUMBER(I13)),H13*I13,"")</f>
        <v>950</v>
      </c>
    </row>
    <row r="14" customFormat="false" ht="15" hidden="false" customHeight="false" outlineLevel="0" collapsed="false">
      <c r="A14" s="13" t="n">
        <v>1419</v>
      </c>
      <c r="B14" s="14" t="n">
        <v>46233</v>
      </c>
      <c r="C14" s="13" t="s">
        <v>82</v>
      </c>
      <c r="D14" s="13" t="s">
        <v>83</v>
      </c>
      <c r="E14" s="13" t="s">
        <v>26</v>
      </c>
      <c r="F14" s="13" t="s">
        <v>20</v>
      </c>
      <c r="G14" s="13" t="s">
        <v>71</v>
      </c>
      <c r="H14" s="13" t="n">
        <v>1</v>
      </c>
      <c r="I14" s="15" t="n">
        <v>550</v>
      </c>
      <c r="J14" s="13" t="s">
        <v>57</v>
      </c>
      <c r="K14" s="13" t="s">
        <v>58</v>
      </c>
      <c r="L14" s="13" t="s">
        <v>35</v>
      </c>
      <c r="M14" s="15" t="n">
        <f aca="false">IF(AND(ISNUMBER(H14),ISNUMBER(I14)),H14*I14,"")</f>
        <v>550</v>
      </c>
    </row>
    <row r="15" customFormat="false" ht="15" hidden="false" customHeight="false" outlineLevel="0" collapsed="false">
      <c r="A15" s="13" t="n">
        <v>1319</v>
      </c>
      <c r="B15" s="14" t="n">
        <v>46178</v>
      </c>
      <c r="C15" s="13" t="s">
        <v>84</v>
      </c>
      <c r="D15" s="13" t="s">
        <v>85</v>
      </c>
      <c r="E15" s="13" t="s">
        <v>30</v>
      </c>
      <c r="F15" s="13" t="s">
        <v>19</v>
      </c>
      <c r="G15" s="13" t="s">
        <v>86</v>
      </c>
      <c r="H15" s="13" t="n">
        <v>1</v>
      </c>
      <c r="I15" s="15" t="n">
        <v>750</v>
      </c>
      <c r="J15" s="13" t="s">
        <v>51</v>
      </c>
      <c r="K15" s="13" t="s">
        <v>52</v>
      </c>
      <c r="L15" s="13" t="s">
        <v>34</v>
      </c>
      <c r="M15" s="15" t="n">
        <f aca="false">IF(AND(ISNUMBER(H15),ISNUMBER(I15)),H15*I15,"")</f>
        <v>750</v>
      </c>
    </row>
    <row r="16" customFormat="false" ht="15" hidden="false" customHeight="false" outlineLevel="0" collapsed="false">
      <c r="A16" s="13" t="n">
        <v>1399</v>
      </c>
      <c r="B16" s="14" t="n">
        <v>46238</v>
      </c>
      <c r="C16" s="13" t="s">
        <v>87</v>
      </c>
      <c r="D16" s="13" t="s">
        <v>88</v>
      </c>
      <c r="E16" s="13" t="s">
        <v>26</v>
      </c>
      <c r="F16" s="13" t="s">
        <v>19</v>
      </c>
      <c r="G16" s="13" t="s">
        <v>86</v>
      </c>
      <c r="H16" s="13" t="n">
        <v>1</v>
      </c>
      <c r="I16" s="15" t="n">
        <v>750</v>
      </c>
      <c r="J16" s="13" t="s">
        <v>72</v>
      </c>
      <c r="K16" s="13" t="s">
        <v>58</v>
      </c>
      <c r="L16" s="13" t="s">
        <v>36</v>
      </c>
      <c r="M16" s="15" t="n">
        <f aca="false">IF(AND(ISNUMBER(H16),ISNUMBER(I16)),H16*I16,"")</f>
        <v>750</v>
      </c>
    </row>
    <row r="17" customFormat="false" ht="15" hidden="false" customHeight="false" outlineLevel="0" collapsed="false">
      <c r="A17" s="13" t="n">
        <v>1051</v>
      </c>
      <c r="B17" s="14" t="n">
        <v>46219</v>
      </c>
      <c r="C17" s="13" t="s">
        <v>89</v>
      </c>
      <c r="D17" s="13" t="s">
        <v>90</v>
      </c>
      <c r="E17" s="13" t="s">
        <v>27</v>
      </c>
      <c r="F17" s="13" t="s">
        <v>91</v>
      </c>
      <c r="G17" s="13" t="s">
        <v>71</v>
      </c>
      <c r="H17" s="13" t="n">
        <v>2</v>
      </c>
      <c r="I17" s="15" t="n">
        <v>300</v>
      </c>
      <c r="J17" s="13" t="s">
        <v>72</v>
      </c>
      <c r="K17" s="13" t="s">
        <v>58</v>
      </c>
      <c r="L17" s="13" t="s">
        <v>35</v>
      </c>
      <c r="M17" s="15" t="n">
        <f aca="false">IF(AND(ISNUMBER(H17),ISNUMBER(I17)),H17*I17,"")</f>
        <v>600</v>
      </c>
    </row>
    <row r="18" customFormat="false" ht="15" hidden="false" customHeight="false" outlineLevel="0" collapsed="false">
      <c r="A18" s="13" t="n">
        <v>1206</v>
      </c>
      <c r="B18" s="14" t="n">
        <v>46263</v>
      </c>
      <c r="C18" s="13" t="s">
        <v>92</v>
      </c>
      <c r="D18" s="13" t="s">
        <v>93</v>
      </c>
      <c r="E18" s="13" t="s">
        <v>26</v>
      </c>
      <c r="F18" s="13" t="s">
        <v>18</v>
      </c>
      <c r="G18" s="13" t="s">
        <v>63</v>
      </c>
      <c r="H18" s="13" t="n">
        <v>1</v>
      </c>
      <c r="I18" s="15" t="n">
        <v>950</v>
      </c>
      <c r="J18" s="13" t="s">
        <v>72</v>
      </c>
      <c r="K18" s="13" t="s">
        <v>58</v>
      </c>
      <c r="L18" s="13" t="s">
        <v>36</v>
      </c>
      <c r="M18" s="15" t="n">
        <f aca="false">IF(AND(ISNUMBER(H18),ISNUMBER(I18)),H18*I18,"")</f>
        <v>950</v>
      </c>
    </row>
    <row r="19" customFormat="false" ht="15" hidden="false" customHeight="false" outlineLevel="0" collapsed="false">
      <c r="A19" s="13" t="n">
        <v>1377</v>
      </c>
      <c r="B19" s="14" t="n">
        <v>46200</v>
      </c>
      <c r="C19" s="13" t="s">
        <v>94</v>
      </c>
      <c r="D19" s="13" t="s">
        <v>95</v>
      </c>
      <c r="E19" s="13" t="s">
        <v>24</v>
      </c>
      <c r="F19" s="13" t="s">
        <v>96</v>
      </c>
      <c r="G19" s="13" t="s">
        <v>56</v>
      </c>
      <c r="H19" s="13" t="n">
        <v>2</v>
      </c>
      <c r="I19" s="15" t="n">
        <v>320</v>
      </c>
      <c r="J19" s="13" t="s">
        <v>72</v>
      </c>
      <c r="K19" s="13" t="s">
        <v>58</v>
      </c>
      <c r="L19" s="13" t="s">
        <v>34</v>
      </c>
      <c r="M19" s="15" t="n">
        <f aca="false">IF(AND(ISNUMBER(H19),ISNUMBER(I19)),H19*I19,"")</f>
        <v>640</v>
      </c>
    </row>
    <row r="20" customFormat="false" ht="15" hidden="false" customHeight="false" outlineLevel="0" collapsed="false">
      <c r="A20" s="13" t="n">
        <v>1251</v>
      </c>
      <c r="B20" s="14" t="n">
        <v>46262</v>
      </c>
      <c r="C20" s="13" t="s">
        <v>97</v>
      </c>
      <c r="D20" s="13" t="s">
        <v>98</v>
      </c>
      <c r="E20" s="13" t="s">
        <v>24</v>
      </c>
      <c r="F20" s="13" t="s">
        <v>91</v>
      </c>
      <c r="G20" s="13" t="s">
        <v>71</v>
      </c>
      <c r="H20" s="13" t="n">
        <v>2</v>
      </c>
      <c r="I20" s="15" t="n">
        <v>300</v>
      </c>
      <c r="J20" s="13" t="s">
        <v>51</v>
      </c>
      <c r="K20" s="13" t="s">
        <v>75</v>
      </c>
      <c r="L20" s="13" t="s">
        <v>36</v>
      </c>
      <c r="M20" s="15" t="n">
        <f aca="false">IF(AND(ISNUMBER(H20),ISNUMBER(I20)),H20*I20,"")</f>
        <v>600</v>
      </c>
    </row>
    <row r="21" customFormat="false" ht="15" hidden="false" customHeight="false" outlineLevel="0" collapsed="false">
      <c r="A21" s="13" t="n">
        <v>1309</v>
      </c>
      <c r="B21" s="14" t="n">
        <v>46197</v>
      </c>
      <c r="C21" s="13" t="s">
        <v>99</v>
      </c>
      <c r="D21" s="13" t="s">
        <v>100</v>
      </c>
      <c r="E21" s="13" t="s">
        <v>24</v>
      </c>
      <c r="F21" s="13" t="s">
        <v>16</v>
      </c>
      <c r="G21" s="13" t="s">
        <v>101</v>
      </c>
      <c r="H21" s="13" t="n">
        <v>1</v>
      </c>
      <c r="I21" s="15" t="n">
        <v>1100</v>
      </c>
      <c r="J21" s="13" t="s">
        <v>64</v>
      </c>
      <c r="K21" s="13" t="s">
        <v>58</v>
      </c>
      <c r="L21" s="13" t="s">
        <v>34</v>
      </c>
      <c r="M21" s="15" t="n">
        <f aca="false">IF(AND(ISNUMBER(H21),ISNUMBER(I21)),H21*I21,"")</f>
        <v>1100</v>
      </c>
    </row>
    <row r="22" customFormat="false" ht="15" hidden="false" customHeight="false" outlineLevel="0" collapsed="false">
      <c r="A22" s="13" t="n">
        <v>1284</v>
      </c>
      <c r="B22" s="14" t="n">
        <v>46232</v>
      </c>
      <c r="C22" s="13" t="s">
        <v>102</v>
      </c>
      <c r="D22" s="13" t="s">
        <v>103</v>
      </c>
      <c r="E22" s="13" t="s">
        <v>26</v>
      </c>
      <c r="F22" s="13" t="s">
        <v>18</v>
      </c>
      <c r="G22" s="13" t="s">
        <v>63</v>
      </c>
      <c r="H22" s="13" t="n">
        <v>1</v>
      </c>
      <c r="I22" s="15" t="n">
        <v>950</v>
      </c>
      <c r="J22" s="13" t="s">
        <v>57</v>
      </c>
      <c r="K22" s="13" t="s">
        <v>58</v>
      </c>
      <c r="L22" s="13" t="s">
        <v>35</v>
      </c>
      <c r="M22" s="15" t="n">
        <f aca="false">IF(AND(ISNUMBER(H22),ISNUMBER(I22)),H22*I22,"")</f>
        <v>950</v>
      </c>
    </row>
    <row r="23" customFormat="false" ht="15" hidden="false" customHeight="false" outlineLevel="0" collapsed="false">
      <c r="A23" s="13" t="n">
        <v>1165</v>
      </c>
      <c r="B23" s="14" t="n">
        <v>46244</v>
      </c>
      <c r="C23" s="13" t="s">
        <v>104</v>
      </c>
      <c r="D23" s="13" t="s">
        <v>105</v>
      </c>
      <c r="E23" s="13" t="s">
        <v>26</v>
      </c>
      <c r="F23" s="13" t="s">
        <v>91</v>
      </c>
      <c r="G23" s="13" t="s">
        <v>71</v>
      </c>
      <c r="H23" s="13" t="n">
        <v>2</v>
      </c>
      <c r="I23" s="15" t="n">
        <v>300</v>
      </c>
      <c r="J23" s="13" t="s">
        <v>57</v>
      </c>
      <c r="K23" s="13" t="s">
        <v>52</v>
      </c>
      <c r="L23" s="13" t="s">
        <v>36</v>
      </c>
      <c r="M23" s="15" t="n">
        <f aca="false">IF(AND(ISNUMBER(H23),ISNUMBER(I23)),H23*I23,"")</f>
        <v>600</v>
      </c>
    </row>
    <row r="24" customFormat="false" ht="15" hidden="false" customHeight="false" outlineLevel="0" collapsed="false">
      <c r="A24" s="13" t="n">
        <v>1227</v>
      </c>
      <c r="B24" s="14" t="n">
        <v>46237</v>
      </c>
      <c r="C24" s="13" t="s">
        <v>106</v>
      </c>
      <c r="D24" s="13" t="s">
        <v>107</v>
      </c>
      <c r="E24" s="13" t="s">
        <v>29</v>
      </c>
      <c r="F24" s="13" t="s">
        <v>16</v>
      </c>
      <c r="G24" s="13" t="s">
        <v>101</v>
      </c>
      <c r="H24" s="13" t="n">
        <v>1</v>
      </c>
      <c r="I24" s="15" t="n">
        <v>1100</v>
      </c>
      <c r="J24" s="13" t="s">
        <v>72</v>
      </c>
      <c r="K24" s="13" t="s">
        <v>80</v>
      </c>
      <c r="L24" s="13" t="s">
        <v>36</v>
      </c>
      <c r="M24" s="15" t="n">
        <f aca="false">IF(AND(ISNUMBER(H24),ISNUMBER(I24)),H24*I24,"")</f>
        <v>1100</v>
      </c>
    </row>
    <row r="25" customFormat="false" ht="15" hidden="false" customHeight="false" outlineLevel="0" collapsed="false">
      <c r="A25" s="13" t="n">
        <v>1020</v>
      </c>
      <c r="B25" s="14" t="n">
        <v>46263</v>
      </c>
      <c r="C25" s="13" t="s">
        <v>108</v>
      </c>
      <c r="D25" s="13" t="s">
        <v>109</v>
      </c>
      <c r="E25" s="13" t="s">
        <v>28</v>
      </c>
      <c r="F25" s="13" t="s">
        <v>19</v>
      </c>
      <c r="G25" s="13" t="s">
        <v>86</v>
      </c>
      <c r="H25" s="13" t="n">
        <v>1</v>
      </c>
      <c r="I25" s="15" t="n">
        <v>750</v>
      </c>
      <c r="J25" s="13" t="s">
        <v>72</v>
      </c>
      <c r="K25" s="13" t="s">
        <v>58</v>
      </c>
      <c r="L25" s="13" t="s">
        <v>36</v>
      </c>
      <c r="M25" s="15" t="n">
        <f aca="false">IF(AND(ISNUMBER(H25),ISNUMBER(I25)),H25*I25,"")</f>
        <v>750</v>
      </c>
    </row>
    <row r="26" customFormat="false" ht="15" hidden="false" customHeight="false" outlineLevel="0" collapsed="false">
      <c r="A26" s="13" t="n">
        <v>1416</v>
      </c>
      <c r="B26" s="14" t="n">
        <v>46253</v>
      </c>
      <c r="C26" s="13" t="s">
        <v>110</v>
      </c>
      <c r="D26" s="13" t="s">
        <v>111</v>
      </c>
      <c r="E26" s="13" t="s">
        <v>26</v>
      </c>
      <c r="F26" s="13" t="s">
        <v>17</v>
      </c>
      <c r="G26" s="13" t="s">
        <v>86</v>
      </c>
      <c r="H26" s="13" t="n">
        <v>1</v>
      </c>
      <c r="I26" s="15" t="n">
        <v>900</v>
      </c>
      <c r="J26" s="13" t="s">
        <v>64</v>
      </c>
      <c r="K26" s="13" t="s">
        <v>58</v>
      </c>
      <c r="L26" s="13" t="s">
        <v>36</v>
      </c>
      <c r="M26" s="15" t="n">
        <f aca="false">IF(AND(ISNUMBER(H26),ISNUMBER(I26)),H26*I26,"")</f>
        <v>900</v>
      </c>
    </row>
    <row r="27" customFormat="false" ht="15" hidden="false" customHeight="false" outlineLevel="0" collapsed="false">
      <c r="A27" s="13" t="n">
        <v>1026</v>
      </c>
      <c r="B27" s="14" t="n">
        <v>46220</v>
      </c>
      <c r="C27" s="13" t="s">
        <v>76</v>
      </c>
      <c r="D27" s="13" t="s">
        <v>112</v>
      </c>
      <c r="E27" s="13" t="s">
        <v>26</v>
      </c>
      <c r="F27" s="13" t="s">
        <v>16</v>
      </c>
      <c r="G27" s="13" t="s">
        <v>101</v>
      </c>
      <c r="H27" s="13" t="n">
        <v>1</v>
      </c>
      <c r="I27" s="15" t="n">
        <v>1100</v>
      </c>
      <c r="J27" s="13" t="s">
        <v>51</v>
      </c>
      <c r="K27" s="13" t="s">
        <v>58</v>
      </c>
      <c r="L27" s="13" t="s">
        <v>35</v>
      </c>
      <c r="M27" s="15" t="n">
        <f aca="false">IF(AND(ISNUMBER(H27),ISNUMBER(I27)),H27*I27,"")</f>
        <v>1100</v>
      </c>
    </row>
    <row r="28" customFormat="false" ht="15" hidden="false" customHeight="false" outlineLevel="0" collapsed="false">
      <c r="A28" s="13" t="n">
        <v>1366</v>
      </c>
      <c r="B28" s="14" t="n">
        <v>46232</v>
      </c>
      <c r="C28" s="13" t="s">
        <v>113</v>
      </c>
      <c r="D28" s="13" t="s">
        <v>114</v>
      </c>
      <c r="E28" s="13" t="s">
        <v>25</v>
      </c>
      <c r="F28" s="13" t="s">
        <v>96</v>
      </c>
      <c r="G28" s="13" t="s">
        <v>56</v>
      </c>
      <c r="H28" s="13" t="n">
        <v>1</v>
      </c>
      <c r="I28" s="15" t="n">
        <v>320</v>
      </c>
      <c r="J28" s="13" t="s">
        <v>64</v>
      </c>
      <c r="K28" s="13" t="s">
        <v>75</v>
      </c>
      <c r="L28" s="13" t="s">
        <v>35</v>
      </c>
      <c r="M28" s="15" t="n">
        <f aca="false">IF(AND(ISNUMBER(H28),ISNUMBER(I28)),H28*I28,"")</f>
        <v>320</v>
      </c>
    </row>
    <row r="29" customFormat="false" ht="15" hidden="false" customHeight="false" outlineLevel="0" collapsed="false">
      <c r="A29" s="13" t="n">
        <v>1408</v>
      </c>
      <c r="B29" s="14" t="n">
        <v>46209</v>
      </c>
      <c r="C29" s="13" t="s">
        <v>115</v>
      </c>
      <c r="D29" s="13" t="s">
        <v>116</v>
      </c>
      <c r="E29" s="13" t="s">
        <v>26</v>
      </c>
      <c r="F29" s="13" t="s">
        <v>55</v>
      </c>
      <c r="G29" s="13" t="s">
        <v>56</v>
      </c>
      <c r="H29" s="13" t="n">
        <v>4</v>
      </c>
      <c r="I29" s="15" t="n">
        <v>450</v>
      </c>
      <c r="J29" s="13" t="s">
        <v>51</v>
      </c>
      <c r="K29" s="13" t="s">
        <v>58</v>
      </c>
      <c r="L29" s="13" t="s">
        <v>35</v>
      </c>
      <c r="M29" s="15" t="n">
        <f aca="false">IF(AND(ISNUMBER(H29),ISNUMBER(I29)),H29*I29,"")</f>
        <v>1800</v>
      </c>
    </row>
    <row r="30" customFormat="false" ht="15" hidden="false" customHeight="false" outlineLevel="0" collapsed="false">
      <c r="A30" s="13" t="n">
        <v>1273</v>
      </c>
      <c r="B30" s="14" t="n">
        <v>46227</v>
      </c>
      <c r="C30" s="13" t="s">
        <v>117</v>
      </c>
      <c r="D30" s="13" t="s">
        <v>118</v>
      </c>
      <c r="E30" s="13" t="s">
        <v>26</v>
      </c>
      <c r="F30" s="13" t="s">
        <v>55</v>
      </c>
      <c r="G30" s="13" t="s">
        <v>56</v>
      </c>
      <c r="H30" s="13" t="n">
        <v>2</v>
      </c>
      <c r="I30" s="15" t="n">
        <v>450</v>
      </c>
      <c r="J30" s="13" t="s">
        <v>72</v>
      </c>
      <c r="K30" s="13" t="s">
        <v>58</v>
      </c>
      <c r="L30" s="13" t="s">
        <v>35</v>
      </c>
      <c r="M30" s="15" t="n">
        <f aca="false">IF(AND(ISNUMBER(H30),ISNUMBER(I30)),H30*I30,"")</f>
        <v>900</v>
      </c>
    </row>
    <row r="31" customFormat="false" ht="15" hidden="false" customHeight="false" outlineLevel="0" collapsed="false">
      <c r="A31" s="13" t="n">
        <v>1406</v>
      </c>
      <c r="B31" s="14" t="n">
        <v>46202</v>
      </c>
      <c r="C31" s="13" t="s">
        <v>119</v>
      </c>
      <c r="D31" s="13" t="s">
        <v>120</v>
      </c>
      <c r="E31" s="13" t="s">
        <v>28</v>
      </c>
      <c r="F31" s="13" t="s">
        <v>96</v>
      </c>
      <c r="G31" s="13" t="s">
        <v>56</v>
      </c>
      <c r="H31" s="13" t="n">
        <v>1</v>
      </c>
      <c r="I31" s="15" t="n">
        <v>320</v>
      </c>
      <c r="J31" s="13" t="s">
        <v>51</v>
      </c>
      <c r="K31" s="13" t="s">
        <v>58</v>
      </c>
      <c r="L31" s="13" t="s">
        <v>34</v>
      </c>
      <c r="M31" s="15" t="n">
        <f aca="false">IF(AND(ISNUMBER(H31),ISNUMBER(I31)),H31*I31,"")</f>
        <v>320</v>
      </c>
    </row>
    <row r="32" customFormat="false" ht="15" hidden="false" customHeight="false" outlineLevel="0" collapsed="false">
      <c r="A32" s="13" t="n">
        <v>1373</v>
      </c>
      <c r="B32" s="14" t="n">
        <v>46258</v>
      </c>
      <c r="C32" s="13" t="s">
        <v>121</v>
      </c>
      <c r="D32" s="13" t="s">
        <v>122</v>
      </c>
      <c r="E32" s="13" t="s">
        <v>25</v>
      </c>
      <c r="F32" s="13" t="s">
        <v>20</v>
      </c>
      <c r="G32" s="13" t="s">
        <v>71</v>
      </c>
      <c r="H32" s="13" t="n">
        <v>1</v>
      </c>
      <c r="I32" s="15" t="n">
        <v>550</v>
      </c>
      <c r="J32" s="13" t="s">
        <v>64</v>
      </c>
      <c r="K32" s="13" t="s">
        <v>52</v>
      </c>
      <c r="L32" s="13" t="s">
        <v>36</v>
      </c>
      <c r="M32" s="15" t="n">
        <f aca="false">IF(AND(ISNUMBER(H32),ISNUMBER(I32)),H32*I32,"")</f>
        <v>550</v>
      </c>
    </row>
    <row r="33" customFormat="false" ht="15" hidden="false" customHeight="false" outlineLevel="0" collapsed="false">
      <c r="A33" s="13" t="n">
        <v>1078</v>
      </c>
      <c r="B33" s="14" t="n">
        <v>46240</v>
      </c>
      <c r="C33" s="13" t="s">
        <v>123</v>
      </c>
      <c r="D33" s="13" t="s">
        <v>124</v>
      </c>
      <c r="E33" s="13" t="s">
        <v>24</v>
      </c>
      <c r="F33" s="13" t="s">
        <v>17</v>
      </c>
      <c r="G33" s="13" t="s">
        <v>86</v>
      </c>
      <c r="H33" s="13" t="n">
        <v>2</v>
      </c>
      <c r="I33" s="15" t="n">
        <v>900</v>
      </c>
      <c r="J33" s="13" t="s">
        <v>51</v>
      </c>
      <c r="K33" s="13" t="s">
        <v>58</v>
      </c>
      <c r="L33" s="13" t="s">
        <v>36</v>
      </c>
      <c r="M33" s="15" t="n">
        <f aca="false">IF(AND(ISNUMBER(H33),ISNUMBER(I33)),H33*I33,"")</f>
        <v>1800</v>
      </c>
    </row>
    <row r="34" customFormat="false" ht="15" hidden="false" customHeight="false" outlineLevel="0" collapsed="false">
      <c r="A34" s="13" t="n">
        <v>1201</v>
      </c>
      <c r="B34" s="14" t="n">
        <v>46240</v>
      </c>
      <c r="C34" s="13" t="s">
        <v>125</v>
      </c>
      <c r="D34" s="13" t="s">
        <v>126</v>
      </c>
      <c r="E34" s="13"/>
      <c r="F34" s="13" t="s">
        <v>19</v>
      </c>
      <c r="G34" s="13" t="s">
        <v>86</v>
      </c>
      <c r="H34" s="13" t="n">
        <v>2</v>
      </c>
      <c r="I34" s="15"/>
      <c r="J34" s="13" t="s">
        <v>72</v>
      </c>
      <c r="K34" s="13" t="s">
        <v>58</v>
      </c>
      <c r="L34" s="13" t="s">
        <v>36</v>
      </c>
      <c r="M34" s="15" t="str">
        <f aca="false">IF(AND(ISNUMBER(H34),ISNUMBER(I34)),H34*I34,"")</f>
        <v/>
      </c>
    </row>
    <row r="35" customFormat="false" ht="15" hidden="false" customHeight="false" outlineLevel="0" collapsed="false">
      <c r="A35" s="13" t="n">
        <v>1082</v>
      </c>
      <c r="B35" s="14" t="n">
        <v>46242</v>
      </c>
      <c r="C35" s="13" t="s">
        <v>127</v>
      </c>
      <c r="D35" s="13" t="s">
        <v>128</v>
      </c>
      <c r="E35" s="13" t="s">
        <v>26</v>
      </c>
      <c r="F35" s="13" t="s">
        <v>16</v>
      </c>
      <c r="G35" s="13" t="s">
        <v>101</v>
      </c>
      <c r="H35" s="13" t="n">
        <v>1</v>
      </c>
      <c r="I35" s="15" t="n">
        <v>1100</v>
      </c>
      <c r="J35" s="13" t="s">
        <v>64</v>
      </c>
      <c r="K35" s="13" t="s">
        <v>52</v>
      </c>
      <c r="L35" s="13" t="s">
        <v>36</v>
      </c>
      <c r="M35" s="15" t="n">
        <f aca="false">IF(AND(ISNUMBER(H35),ISNUMBER(I35)),H35*I35,"")</f>
        <v>1100</v>
      </c>
    </row>
    <row r="36" customFormat="false" ht="15" hidden="false" customHeight="false" outlineLevel="0" collapsed="false">
      <c r="A36" s="13" t="n">
        <v>1264</v>
      </c>
      <c r="B36" s="14" t="n">
        <v>46264</v>
      </c>
      <c r="C36" s="13" t="s">
        <v>129</v>
      </c>
      <c r="D36" s="13" t="s">
        <v>130</v>
      </c>
      <c r="E36" s="13" t="s">
        <v>25</v>
      </c>
      <c r="F36" s="13" t="s">
        <v>131</v>
      </c>
      <c r="G36" s="13" t="s">
        <v>56</v>
      </c>
      <c r="H36" s="13" t="n">
        <v>1</v>
      </c>
      <c r="I36" s="15" t="n">
        <v>180</v>
      </c>
      <c r="J36" s="13" t="s">
        <v>57</v>
      </c>
      <c r="K36" s="13" t="s">
        <v>52</v>
      </c>
      <c r="L36" s="13" t="s">
        <v>36</v>
      </c>
      <c r="M36" s="15" t="n">
        <f aca="false">IF(AND(ISNUMBER(H36),ISNUMBER(I36)),H36*I36,"")</f>
        <v>180</v>
      </c>
    </row>
    <row r="37" customFormat="false" ht="15" hidden="false" customHeight="false" outlineLevel="0" collapsed="false">
      <c r="A37" s="13" t="n">
        <v>1203</v>
      </c>
      <c r="B37" s="14" t="n">
        <v>46189</v>
      </c>
      <c r="C37" s="13" t="s">
        <v>132</v>
      </c>
      <c r="D37" s="13" t="s">
        <v>133</v>
      </c>
      <c r="E37" s="13" t="s">
        <v>24</v>
      </c>
      <c r="F37" s="13" t="s">
        <v>19</v>
      </c>
      <c r="G37" s="13" t="s">
        <v>86</v>
      </c>
      <c r="H37" s="13" t="n">
        <v>2</v>
      </c>
      <c r="I37" s="15" t="n">
        <v>750</v>
      </c>
      <c r="J37" s="13" t="s">
        <v>51</v>
      </c>
      <c r="K37" s="13" t="s">
        <v>58</v>
      </c>
      <c r="L37" s="13" t="s">
        <v>34</v>
      </c>
      <c r="M37" s="15" t="n">
        <f aca="false">IF(AND(ISNUMBER(H37),ISNUMBER(I37)),H37*I37,"")</f>
        <v>1500</v>
      </c>
    </row>
    <row r="38" customFormat="false" ht="15" hidden="false" customHeight="false" outlineLevel="0" collapsed="false">
      <c r="A38" s="13" t="n">
        <v>1375</v>
      </c>
      <c r="B38" s="14" t="n">
        <v>46222</v>
      </c>
      <c r="C38" s="13" t="s">
        <v>134</v>
      </c>
      <c r="D38" s="13" t="s">
        <v>135</v>
      </c>
      <c r="E38" s="13" t="s">
        <v>24</v>
      </c>
      <c r="F38" s="13" t="s">
        <v>96</v>
      </c>
      <c r="G38" s="13" t="s">
        <v>56</v>
      </c>
      <c r="H38" s="13" t="n">
        <v>3</v>
      </c>
      <c r="I38" s="15" t="n">
        <v>320</v>
      </c>
      <c r="J38" s="13" t="s">
        <v>51</v>
      </c>
      <c r="K38" s="13" t="s">
        <v>58</v>
      </c>
      <c r="L38" s="13" t="s">
        <v>35</v>
      </c>
      <c r="M38" s="15" t="n">
        <f aca="false">IF(AND(ISNUMBER(H38),ISNUMBER(I38)),H38*I38,"")</f>
        <v>960</v>
      </c>
    </row>
    <row r="39" customFormat="false" ht="15" hidden="false" customHeight="false" outlineLevel="0" collapsed="false">
      <c r="A39" s="13" t="n">
        <v>1162</v>
      </c>
      <c r="B39" s="14" t="n">
        <v>46216</v>
      </c>
      <c r="C39" s="13" t="s">
        <v>136</v>
      </c>
      <c r="D39" s="13" t="s">
        <v>137</v>
      </c>
      <c r="E39" s="13" t="s">
        <v>26</v>
      </c>
      <c r="F39" s="13" t="s">
        <v>20</v>
      </c>
      <c r="G39" s="13" t="s">
        <v>71</v>
      </c>
      <c r="H39" s="13" t="n">
        <v>2</v>
      </c>
      <c r="I39" s="15" t="n">
        <v>550</v>
      </c>
      <c r="J39" s="13" t="s">
        <v>57</v>
      </c>
      <c r="K39" s="13" t="s">
        <v>52</v>
      </c>
      <c r="L39" s="13" t="s">
        <v>35</v>
      </c>
      <c r="M39" s="15" t="n">
        <f aca="false">IF(AND(ISNUMBER(H39),ISNUMBER(I39)),H39*I39,"")</f>
        <v>1100</v>
      </c>
    </row>
    <row r="40" customFormat="false" ht="15" hidden="false" customHeight="false" outlineLevel="0" collapsed="false">
      <c r="A40" s="13" t="n">
        <v>1288</v>
      </c>
      <c r="B40" s="14" t="n">
        <v>46228</v>
      </c>
      <c r="C40" s="13" t="s">
        <v>138</v>
      </c>
      <c r="D40" s="13" t="s">
        <v>139</v>
      </c>
      <c r="E40" s="13" t="s">
        <v>25</v>
      </c>
      <c r="F40" s="13" t="s">
        <v>16</v>
      </c>
      <c r="G40" s="13" t="s">
        <v>101</v>
      </c>
      <c r="H40" s="13" t="n">
        <v>2</v>
      </c>
      <c r="I40" s="15" t="n">
        <v>1100</v>
      </c>
      <c r="J40" s="13" t="s">
        <v>57</v>
      </c>
      <c r="K40" s="13" t="s">
        <v>58</v>
      </c>
      <c r="L40" s="13" t="s">
        <v>35</v>
      </c>
      <c r="M40" s="15" t="n">
        <f aca="false">IF(AND(ISNUMBER(H40),ISNUMBER(I40)),H40*I40,"")</f>
        <v>2200</v>
      </c>
    </row>
    <row r="41" customFormat="false" ht="15" hidden="false" customHeight="false" outlineLevel="0" collapsed="false">
      <c r="A41" s="13" t="n">
        <v>1044</v>
      </c>
      <c r="B41" s="14" t="n">
        <v>46242</v>
      </c>
      <c r="C41" s="13" t="s">
        <v>47</v>
      </c>
      <c r="D41" s="13" t="s">
        <v>140</v>
      </c>
      <c r="E41" s="13" t="s">
        <v>29</v>
      </c>
      <c r="F41" s="13" t="s">
        <v>55</v>
      </c>
      <c r="G41" s="13" t="s">
        <v>56</v>
      </c>
      <c r="H41" s="13" t="n">
        <v>1</v>
      </c>
      <c r="I41" s="15" t="n">
        <v>450</v>
      </c>
      <c r="J41" s="13" t="s">
        <v>51</v>
      </c>
      <c r="K41" s="13" t="s">
        <v>52</v>
      </c>
      <c r="L41" s="13" t="s">
        <v>36</v>
      </c>
      <c r="M41" s="15" t="n">
        <f aca="false">IF(AND(ISNUMBER(H41),ISNUMBER(I41)),H41*I41,"")</f>
        <v>450</v>
      </c>
    </row>
    <row r="42" customFormat="false" ht="15" hidden="false" customHeight="false" outlineLevel="0" collapsed="false">
      <c r="A42" s="13" t="n">
        <v>1025</v>
      </c>
      <c r="B42" s="14" t="n">
        <v>46222</v>
      </c>
      <c r="C42" s="13" t="s">
        <v>141</v>
      </c>
      <c r="D42" s="13" t="s">
        <v>142</v>
      </c>
      <c r="E42" s="13" t="s">
        <v>24</v>
      </c>
      <c r="F42" s="13" t="s">
        <v>91</v>
      </c>
      <c r="G42" s="13" t="s">
        <v>71</v>
      </c>
      <c r="H42" s="13" t="n">
        <v>1</v>
      </c>
      <c r="I42" s="15" t="n">
        <v>300</v>
      </c>
      <c r="J42" s="13" t="s">
        <v>57</v>
      </c>
      <c r="K42" s="13" t="s">
        <v>75</v>
      </c>
      <c r="L42" s="13" t="s">
        <v>35</v>
      </c>
      <c r="M42" s="15" t="n">
        <f aca="false">IF(AND(ISNUMBER(H42),ISNUMBER(I42)),H42*I42,"")</f>
        <v>300</v>
      </c>
    </row>
    <row r="43" customFormat="false" ht="15" hidden="false" customHeight="false" outlineLevel="0" collapsed="false">
      <c r="A43" s="13" t="n">
        <v>1049</v>
      </c>
      <c r="B43" s="14" t="n">
        <v>46209</v>
      </c>
      <c r="C43" s="13" t="s">
        <v>143</v>
      </c>
      <c r="D43" s="13" t="s">
        <v>144</v>
      </c>
      <c r="E43" s="13" t="s">
        <v>24</v>
      </c>
      <c r="F43" s="13" t="s">
        <v>96</v>
      </c>
      <c r="G43" s="13" t="s">
        <v>56</v>
      </c>
      <c r="H43" s="13" t="n">
        <v>1</v>
      </c>
      <c r="I43" s="15" t="n">
        <v>320</v>
      </c>
      <c r="J43" s="13" t="s">
        <v>51</v>
      </c>
      <c r="K43" s="13" t="s">
        <v>58</v>
      </c>
      <c r="L43" s="13" t="s">
        <v>35</v>
      </c>
      <c r="M43" s="15" t="n">
        <f aca="false">IF(AND(ISNUMBER(H43),ISNUMBER(I43)),H43*I43,"")</f>
        <v>320</v>
      </c>
    </row>
    <row r="44" customFormat="false" ht="15" hidden="false" customHeight="false" outlineLevel="0" collapsed="false">
      <c r="A44" s="13" t="n">
        <v>1118</v>
      </c>
      <c r="B44" s="14" t="n">
        <v>46191</v>
      </c>
      <c r="C44" s="13" t="s">
        <v>145</v>
      </c>
      <c r="D44" s="13" t="s">
        <v>146</v>
      </c>
      <c r="E44" s="13" t="s">
        <v>27</v>
      </c>
      <c r="F44" s="13" t="s">
        <v>55</v>
      </c>
      <c r="G44" s="13" t="s">
        <v>56</v>
      </c>
      <c r="H44" s="13" t="n">
        <v>1</v>
      </c>
      <c r="I44" s="15" t="n">
        <v>450</v>
      </c>
      <c r="J44" s="13" t="s">
        <v>51</v>
      </c>
      <c r="K44" s="13" t="s">
        <v>58</v>
      </c>
      <c r="L44" s="13" t="s">
        <v>34</v>
      </c>
      <c r="M44" s="15" t="n">
        <f aca="false">IF(AND(ISNUMBER(H44),ISNUMBER(I44)),H44*I44,"")</f>
        <v>450</v>
      </c>
    </row>
    <row r="45" customFormat="false" ht="15" hidden="false" customHeight="false" outlineLevel="0" collapsed="false">
      <c r="A45" s="13" t="n">
        <v>1272</v>
      </c>
      <c r="B45" s="14" t="n">
        <v>46242</v>
      </c>
      <c r="C45" s="13" t="s">
        <v>110</v>
      </c>
      <c r="D45" s="13" t="s">
        <v>147</v>
      </c>
      <c r="E45" s="13" t="s">
        <v>29</v>
      </c>
      <c r="F45" s="13" t="s">
        <v>20</v>
      </c>
      <c r="G45" s="13" t="s">
        <v>71</v>
      </c>
      <c r="H45" s="13" t="n">
        <v>1</v>
      </c>
      <c r="I45" s="15" t="n">
        <v>550</v>
      </c>
      <c r="J45" s="13" t="s">
        <v>57</v>
      </c>
      <c r="K45" s="13" t="s">
        <v>58</v>
      </c>
      <c r="L45" s="13" t="s">
        <v>36</v>
      </c>
      <c r="M45" s="15" t="n">
        <f aca="false">IF(AND(ISNUMBER(H45),ISNUMBER(I45)),H45*I45,"")</f>
        <v>550</v>
      </c>
    </row>
    <row r="46" customFormat="false" ht="15" hidden="false" customHeight="false" outlineLevel="0" collapsed="false">
      <c r="A46" s="13" t="n">
        <v>1237</v>
      </c>
      <c r="B46" s="14" t="n">
        <v>46185</v>
      </c>
      <c r="C46" s="13" t="s">
        <v>148</v>
      </c>
      <c r="D46" s="13" t="s">
        <v>68</v>
      </c>
      <c r="E46" s="13" t="s">
        <v>27</v>
      </c>
      <c r="F46" s="13" t="s">
        <v>16</v>
      </c>
      <c r="G46" s="13" t="s">
        <v>101</v>
      </c>
      <c r="H46" s="13" t="n">
        <v>1</v>
      </c>
      <c r="I46" s="15" t="n">
        <v>1100</v>
      </c>
      <c r="J46" s="13" t="s">
        <v>64</v>
      </c>
      <c r="K46" s="13" t="s">
        <v>52</v>
      </c>
      <c r="L46" s="13" t="s">
        <v>34</v>
      </c>
      <c r="M46" s="15" t="n">
        <f aca="false">IF(AND(ISNUMBER(H46),ISNUMBER(I46)),H46*I46,"")</f>
        <v>1100</v>
      </c>
    </row>
    <row r="47" customFormat="false" ht="15" hidden="false" customHeight="false" outlineLevel="0" collapsed="false">
      <c r="A47" s="13" t="n">
        <v>1097</v>
      </c>
      <c r="B47" s="14" t="n">
        <v>46252</v>
      </c>
      <c r="C47" s="13" t="s">
        <v>149</v>
      </c>
      <c r="D47" s="13" t="s">
        <v>150</v>
      </c>
      <c r="E47" s="13" t="s">
        <v>26</v>
      </c>
      <c r="F47" s="13" t="s">
        <v>49</v>
      </c>
      <c r="G47" s="13" t="s">
        <v>50</v>
      </c>
      <c r="H47" s="13" t="n">
        <v>2</v>
      </c>
      <c r="I47" s="15" t="n">
        <v>120</v>
      </c>
      <c r="J47" s="13" t="s">
        <v>64</v>
      </c>
      <c r="K47" s="13" t="s">
        <v>58</v>
      </c>
      <c r="L47" s="13" t="s">
        <v>36</v>
      </c>
      <c r="M47" s="15" t="n">
        <f aca="false">IF(AND(ISNUMBER(H47),ISNUMBER(I47)),H47*I47,"")</f>
        <v>240</v>
      </c>
    </row>
    <row r="48" customFormat="false" ht="15" hidden="false" customHeight="false" outlineLevel="0" collapsed="false">
      <c r="A48" s="13" t="n">
        <v>1448</v>
      </c>
      <c r="B48" s="14" t="n">
        <v>46211</v>
      </c>
      <c r="C48" s="13" t="s">
        <v>151</v>
      </c>
      <c r="D48" s="13" t="s">
        <v>152</v>
      </c>
      <c r="E48" s="13" t="s">
        <v>24</v>
      </c>
      <c r="F48" s="13" t="s">
        <v>91</v>
      </c>
      <c r="G48" s="13" t="s">
        <v>71</v>
      </c>
      <c r="H48" s="13" t="n">
        <v>1</v>
      </c>
      <c r="I48" s="15" t="n">
        <v>300</v>
      </c>
      <c r="J48" s="13" t="s">
        <v>72</v>
      </c>
      <c r="K48" s="13" t="s">
        <v>52</v>
      </c>
      <c r="L48" s="13" t="s">
        <v>35</v>
      </c>
      <c r="M48" s="15" t="n">
        <f aca="false">IF(AND(ISNUMBER(H48),ISNUMBER(I48)),H48*I48,"")</f>
        <v>300</v>
      </c>
    </row>
    <row r="49" customFormat="false" ht="15" hidden="false" customHeight="false" outlineLevel="0" collapsed="false">
      <c r="A49" s="13" t="n">
        <v>1376</v>
      </c>
      <c r="B49" s="14" t="n">
        <v>46232</v>
      </c>
      <c r="C49" s="13" t="s">
        <v>153</v>
      </c>
      <c r="D49" s="13" t="s">
        <v>154</v>
      </c>
      <c r="E49" s="13" t="s">
        <v>24</v>
      </c>
      <c r="F49" s="13" t="s">
        <v>20</v>
      </c>
      <c r="G49" s="13" t="s">
        <v>71</v>
      </c>
      <c r="H49" s="13" t="n">
        <v>1</v>
      </c>
      <c r="I49" s="15" t="n">
        <v>550</v>
      </c>
      <c r="J49" s="13" t="s">
        <v>72</v>
      </c>
      <c r="K49" s="13" t="s">
        <v>52</v>
      </c>
      <c r="L49" s="13" t="s">
        <v>35</v>
      </c>
      <c r="M49" s="15" t="n">
        <f aca="false">IF(AND(ISNUMBER(H49),ISNUMBER(I49)),H49*I49,"")</f>
        <v>550</v>
      </c>
    </row>
    <row r="50" customFormat="false" ht="15" hidden="false" customHeight="false" outlineLevel="0" collapsed="false">
      <c r="A50" s="13" t="n">
        <v>1086</v>
      </c>
      <c r="B50" s="14" t="n">
        <v>46264</v>
      </c>
      <c r="C50" s="13" t="s">
        <v>155</v>
      </c>
      <c r="D50" s="13" t="s">
        <v>156</v>
      </c>
      <c r="E50" s="13" t="s">
        <v>26</v>
      </c>
      <c r="F50" s="13" t="s">
        <v>19</v>
      </c>
      <c r="G50" s="13" t="s">
        <v>86</v>
      </c>
      <c r="H50" s="13" t="n">
        <v>2</v>
      </c>
      <c r="I50" s="15" t="n">
        <v>750</v>
      </c>
      <c r="J50" s="13" t="s">
        <v>72</v>
      </c>
      <c r="K50" s="13" t="s">
        <v>80</v>
      </c>
      <c r="L50" s="13" t="s">
        <v>36</v>
      </c>
      <c r="M50" s="15" t="n">
        <f aca="false">IF(AND(ISNUMBER(H50),ISNUMBER(I50)),H50*I50,"")</f>
        <v>1500</v>
      </c>
    </row>
    <row r="51" customFormat="false" ht="15" hidden="false" customHeight="false" outlineLevel="0" collapsed="false">
      <c r="A51" s="13" t="n">
        <v>1398</v>
      </c>
      <c r="B51" s="14" t="n">
        <v>46231</v>
      </c>
      <c r="C51" s="13" t="s">
        <v>157</v>
      </c>
      <c r="D51" s="13" t="s">
        <v>158</v>
      </c>
      <c r="E51" s="13" t="s">
        <v>24</v>
      </c>
      <c r="F51" s="13" t="s">
        <v>20</v>
      </c>
      <c r="G51" s="13" t="s">
        <v>71</v>
      </c>
      <c r="H51" s="13" t="n">
        <v>1</v>
      </c>
      <c r="I51" s="15" t="n">
        <v>550</v>
      </c>
      <c r="J51" s="13" t="s">
        <v>72</v>
      </c>
      <c r="K51" s="13" t="s">
        <v>58</v>
      </c>
      <c r="L51" s="13" t="s">
        <v>35</v>
      </c>
      <c r="M51" s="15" t="n">
        <f aca="false">IF(AND(ISNUMBER(H51),ISNUMBER(I51)),H51*I51,"")</f>
        <v>550</v>
      </c>
    </row>
    <row r="52" customFormat="false" ht="15" hidden="false" customHeight="false" outlineLevel="0" collapsed="false">
      <c r="A52" s="13" t="n">
        <v>1358</v>
      </c>
      <c r="B52" s="14" t="n">
        <v>46243</v>
      </c>
      <c r="C52" s="13" t="s">
        <v>159</v>
      </c>
      <c r="D52" s="13" t="s">
        <v>160</v>
      </c>
      <c r="E52" s="13" t="s">
        <v>25</v>
      </c>
      <c r="F52" s="13" t="s">
        <v>49</v>
      </c>
      <c r="G52" s="13" t="s">
        <v>50</v>
      </c>
      <c r="H52" s="13"/>
      <c r="I52" s="15"/>
      <c r="J52" s="13" t="s">
        <v>57</v>
      </c>
      <c r="K52" s="13" t="s">
        <v>58</v>
      </c>
      <c r="L52" s="13" t="s">
        <v>36</v>
      </c>
      <c r="M52" s="15" t="str">
        <f aca="false">IF(AND(ISNUMBER(H52),ISNUMBER(I52)),H52*I52,"")</f>
        <v/>
      </c>
    </row>
    <row r="53" customFormat="false" ht="15" hidden="false" customHeight="false" outlineLevel="0" collapsed="false">
      <c r="A53" s="13" t="n">
        <v>1059</v>
      </c>
      <c r="B53" s="14" t="n">
        <v>46258</v>
      </c>
      <c r="C53" s="13" t="s">
        <v>161</v>
      </c>
      <c r="D53" s="13" t="s">
        <v>162</v>
      </c>
      <c r="E53" s="13" t="s">
        <v>24</v>
      </c>
      <c r="F53" s="13" t="s">
        <v>19</v>
      </c>
      <c r="G53" s="13" t="s">
        <v>86</v>
      </c>
      <c r="H53" s="13" t="n">
        <v>1</v>
      </c>
      <c r="I53" s="15" t="n">
        <v>750</v>
      </c>
      <c r="J53" s="13" t="s">
        <v>57</v>
      </c>
      <c r="K53" s="13" t="s">
        <v>52</v>
      </c>
      <c r="L53" s="13" t="s">
        <v>36</v>
      </c>
      <c r="M53" s="15" t="n">
        <f aca="false">IF(AND(ISNUMBER(H53),ISNUMBER(I53)),H53*I53,"")</f>
        <v>750</v>
      </c>
    </row>
    <row r="54" customFormat="false" ht="15" hidden="false" customHeight="false" outlineLevel="0" collapsed="false">
      <c r="A54" s="13" t="n">
        <v>1364</v>
      </c>
      <c r="B54" s="14" t="n">
        <v>46245</v>
      </c>
      <c r="C54" s="13" t="s">
        <v>163</v>
      </c>
      <c r="D54" s="13" t="s">
        <v>164</v>
      </c>
      <c r="E54" s="13" t="s">
        <v>26</v>
      </c>
      <c r="F54" s="13" t="s">
        <v>16</v>
      </c>
      <c r="G54" s="13" t="s">
        <v>101</v>
      </c>
      <c r="H54" s="13" t="n">
        <v>1</v>
      </c>
      <c r="I54" s="15" t="n">
        <v>1100</v>
      </c>
      <c r="J54" s="13" t="s">
        <v>57</v>
      </c>
      <c r="K54" s="13" t="s">
        <v>52</v>
      </c>
      <c r="L54" s="13" t="s">
        <v>36</v>
      </c>
      <c r="M54" s="15" t="n">
        <f aca="false">IF(AND(ISNUMBER(H54),ISNUMBER(I54)),H54*I54,"")</f>
        <v>1100</v>
      </c>
    </row>
    <row r="55" customFormat="false" ht="15" hidden="false" customHeight="false" outlineLevel="0" collapsed="false">
      <c r="A55" s="13" t="n">
        <v>1073</v>
      </c>
      <c r="B55" s="14" t="n">
        <v>46212</v>
      </c>
      <c r="C55" s="13" t="s">
        <v>106</v>
      </c>
      <c r="D55" s="13" t="s">
        <v>165</v>
      </c>
      <c r="E55" s="13" t="s">
        <v>30</v>
      </c>
      <c r="F55" s="13" t="s">
        <v>55</v>
      </c>
      <c r="G55" s="13" t="s">
        <v>56</v>
      </c>
      <c r="H55" s="13" t="n">
        <v>1</v>
      </c>
      <c r="I55" s="15" t="n">
        <v>450</v>
      </c>
      <c r="J55" s="13" t="s">
        <v>64</v>
      </c>
      <c r="K55" s="13" t="s">
        <v>58</v>
      </c>
      <c r="L55" s="13" t="s">
        <v>35</v>
      </c>
      <c r="M55" s="15" t="n">
        <f aca="false">IF(AND(ISNUMBER(H55),ISNUMBER(I55)),H55*I55,"")</f>
        <v>450</v>
      </c>
    </row>
    <row r="56" customFormat="false" ht="15" hidden="false" customHeight="false" outlineLevel="0" collapsed="false">
      <c r="A56" s="13" t="n">
        <v>1062</v>
      </c>
      <c r="B56" s="14" t="n">
        <v>46227</v>
      </c>
      <c r="C56" s="13" t="s">
        <v>166</v>
      </c>
      <c r="D56" s="13" t="s">
        <v>167</v>
      </c>
      <c r="E56" s="13"/>
      <c r="F56" s="13" t="s">
        <v>19</v>
      </c>
      <c r="G56" s="13" t="s">
        <v>86</v>
      </c>
      <c r="H56" s="13" t="n">
        <v>1</v>
      </c>
      <c r="I56" s="15"/>
      <c r="J56" s="13" t="s">
        <v>64</v>
      </c>
      <c r="K56" s="13" t="s">
        <v>58</v>
      </c>
      <c r="L56" s="13" t="s">
        <v>35</v>
      </c>
      <c r="M56" s="15" t="str">
        <f aca="false">IF(AND(ISNUMBER(H56),ISNUMBER(I56)),H56*I56,"")</f>
        <v/>
      </c>
    </row>
    <row r="57" customFormat="false" ht="15" hidden="false" customHeight="false" outlineLevel="0" collapsed="false">
      <c r="A57" s="13" t="n">
        <v>1094</v>
      </c>
      <c r="B57" s="14" t="n">
        <v>46189</v>
      </c>
      <c r="C57" s="13" t="s">
        <v>113</v>
      </c>
      <c r="D57" s="13" t="s">
        <v>168</v>
      </c>
      <c r="E57" s="13" t="s">
        <v>28</v>
      </c>
      <c r="F57" s="13" t="s">
        <v>20</v>
      </c>
      <c r="G57" s="13" t="s">
        <v>71</v>
      </c>
      <c r="H57" s="13" t="n">
        <v>4</v>
      </c>
      <c r="I57" s="15" t="n">
        <v>550</v>
      </c>
      <c r="J57" s="13" t="s">
        <v>57</v>
      </c>
      <c r="K57" s="13" t="s">
        <v>75</v>
      </c>
      <c r="L57" s="13" t="s">
        <v>34</v>
      </c>
      <c r="M57" s="15" t="n">
        <f aca="false">IF(AND(ISNUMBER(H57),ISNUMBER(I57)),H57*I57,"")</f>
        <v>2200</v>
      </c>
    </row>
    <row r="58" customFormat="false" ht="15" hidden="false" customHeight="false" outlineLevel="0" collapsed="false">
      <c r="A58" s="13" t="n">
        <v>1108</v>
      </c>
      <c r="B58" s="14" t="n">
        <v>46217</v>
      </c>
      <c r="C58" s="13" t="s">
        <v>169</v>
      </c>
      <c r="D58" s="13" t="s">
        <v>170</v>
      </c>
      <c r="E58" s="13" t="s">
        <v>27</v>
      </c>
      <c r="F58" s="13" t="s">
        <v>55</v>
      </c>
      <c r="G58" s="13" t="s">
        <v>56</v>
      </c>
      <c r="H58" s="13" t="n">
        <v>1</v>
      </c>
      <c r="I58" s="15" t="n">
        <v>450</v>
      </c>
      <c r="J58" s="13" t="s">
        <v>57</v>
      </c>
      <c r="K58" s="13" t="s">
        <v>58</v>
      </c>
      <c r="L58" s="13" t="s">
        <v>35</v>
      </c>
      <c r="M58" s="15" t="n">
        <f aca="false">IF(AND(ISNUMBER(H58),ISNUMBER(I58)),H58*I58,"")</f>
        <v>450</v>
      </c>
    </row>
    <row r="59" customFormat="false" ht="15" hidden="false" customHeight="false" outlineLevel="0" collapsed="false">
      <c r="A59" s="13" t="n">
        <v>1337</v>
      </c>
      <c r="B59" s="14" t="n">
        <v>46249</v>
      </c>
      <c r="C59" s="13" t="s">
        <v>171</v>
      </c>
      <c r="D59" s="13" t="s">
        <v>172</v>
      </c>
      <c r="E59" s="13" t="s">
        <v>26</v>
      </c>
      <c r="F59" s="13" t="s">
        <v>131</v>
      </c>
      <c r="G59" s="13" t="s">
        <v>56</v>
      </c>
      <c r="H59" s="13" t="n">
        <v>2</v>
      </c>
      <c r="I59" s="15" t="n">
        <v>180</v>
      </c>
      <c r="J59" s="13" t="s">
        <v>72</v>
      </c>
      <c r="K59" s="13" t="s">
        <v>80</v>
      </c>
      <c r="L59" s="13" t="s">
        <v>36</v>
      </c>
      <c r="M59" s="15" t="n">
        <f aca="false">IF(AND(ISNUMBER(H59),ISNUMBER(I59)),H59*I59,"")</f>
        <v>360</v>
      </c>
    </row>
    <row r="60" customFormat="false" ht="15" hidden="false" customHeight="false" outlineLevel="0" collapsed="false">
      <c r="A60" s="13" t="n">
        <v>1002</v>
      </c>
      <c r="B60" s="14" t="n">
        <v>46207</v>
      </c>
      <c r="C60" s="13" t="s">
        <v>173</v>
      </c>
      <c r="D60" s="13" t="s">
        <v>174</v>
      </c>
      <c r="E60" s="13" t="s">
        <v>24</v>
      </c>
      <c r="F60" s="13" t="s">
        <v>55</v>
      </c>
      <c r="G60" s="13" t="s">
        <v>56</v>
      </c>
      <c r="H60" s="13" t="n">
        <v>1</v>
      </c>
      <c r="I60" s="15" t="n">
        <v>450</v>
      </c>
      <c r="J60" s="13" t="s">
        <v>51</v>
      </c>
      <c r="K60" s="13" t="s">
        <v>80</v>
      </c>
      <c r="L60" s="13" t="s">
        <v>35</v>
      </c>
      <c r="M60" s="15" t="n">
        <f aca="false">IF(AND(ISNUMBER(H60),ISNUMBER(I60)),H60*I60,"")</f>
        <v>450</v>
      </c>
    </row>
    <row r="61" customFormat="false" ht="15" hidden="false" customHeight="false" outlineLevel="0" collapsed="false">
      <c r="A61" s="13" t="n">
        <v>1091</v>
      </c>
      <c r="B61" s="14" t="n">
        <v>46201</v>
      </c>
      <c r="C61" s="13" t="s">
        <v>175</v>
      </c>
      <c r="D61" s="13" t="s">
        <v>176</v>
      </c>
      <c r="E61" s="13" t="s">
        <v>24</v>
      </c>
      <c r="F61" s="13" t="s">
        <v>131</v>
      </c>
      <c r="G61" s="13" t="s">
        <v>56</v>
      </c>
      <c r="H61" s="13" t="n">
        <v>1</v>
      </c>
      <c r="I61" s="15" t="n">
        <v>180</v>
      </c>
      <c r="J61" s="13" t="s">
        <v>72</v>
      </c>
      <c r="K61" s="13" t="s">
        <v>58</v>
      </c>
      <c r="L61" s="13" t="s">
        <v>34</v>
      </c>
      <c r="M61" s="15" t="n">
        <f aca="false">IF(AND(ISNUMBER(H61),ISNUMBER(I61)),H61*I61,"")</f>
        <v>180</v>
      </c>
    </row>
    <row r="62" customFormat="false" ht="15" hidden="false" customHeight="false" outlineLevel="0" collapsed="false">
      <c r="A62" s="13" t="n">
        <v>1208</v>
      </c>
      <c r="B62" s="14" t="n">
        <v>46178</v>
      </c>
      <c r="C62" s="13" t="s">
        <v>134</v>
      </c>
      <c r="D62" s="13" t="s">
        <v>177</v>
      </c>
      <c r="E62" s="13"/>
      <c r="F62" s="13" t="s">
        <v>16</v>
      </c>
      <c r="G62" s="13" t="s">
        <v>101</v>
      </c>
      <c r="H62" s="13" t="n">
        <v>1</v>
      </c>
      <c r="I62" s="15" t="n">
        <v>1100</v>
      </c>
      <c r="J62" s="13" t="s">
        <v>64</v>
      </c>
      <c r="K62" s="13" t="s">
        <v>58</v>
      </c>
      <c r="L62" s="13" t="s">
        <v>34</v>
      </c>
      <c r="M62" s="15" t="n">
        <f aca="false">IF(AND(ISNUMBER(H62),ISNUMBER(I62)),H62*I62,"")</f>
        <v>1100</v>
      </c>
    </row>
    <row r="63" customFormat="false" ht="15" hidden="false" customHeight="false" outlineLevel="0" collapsed="false">
      <c r="A63" s="13" t="n">
        <v>1232</v>
      </c>
      <c r="B63" s="14" t="n">
        <v>46226</v>
      </c>
      <c r="C63" s="13" t="s">
        <v>178</v>
      </c>
      <c r="D63" s="13" t="s">
        <v>179</v>
      </c>
      <c r="E63" s="13" t="s">
        <v>25</v>
      </c>
      <c r="F63" s="13" t="s">
        <v>17</v>
      </c>
      <c r="G63" s="13" t="s">
        <v>86</v>
      </c>
      <c r="H63" s="13" t="n">
        <v>1</v>
      </c>
      <c r="I63" s="15" t="n">
        <v>900</v>
      </c>
      <c r="J63" s="13" t="s">
        <v>64</v>
      </c>
      <c r="K63" s="13" t="s">
        <v>58</v>
      </c>
      <c r="L63" s="13" t="s">
        <v>35</v>
      </c>
      <c r="M63" s="15" t="n">
        <f aca="false">IF(AND(ISNUMBER(H63),ISNUMBER(I63)),H63*I63,"")</f>
        <v>900</v>
      </c>
    </row>
    <row r="64" customFormat="false" ht="15" hidden="false" customHeight="false" outlineLevel="0" collapsed="false">
      <c r="A64" s="13" t="n">
        <v>1311</v>
      </c>
      <c r="B64" s="14" t="n">
        <v>46200</v>
      </c>
      <c r="C64" s="13" t="s">
        <v>180</v>
      </c>
      <c r="D64" s="13" t="s">
        <v>181</v>
      </c>
      <c r="E64" s="13" t="s">
        <v>24</v>
      </c>
      <c r="F64" s="13" t="s">
        <v>20</v>
      </c>
      <c r="G64" s="13" t="s">
        <v>71</v>
      </c>
      <c r="H64" s="13" t="n">
        <v>3</v>
      </c>
      <c r="I64" s="15" t="n">
        <v>550</v>
      </c>
      <c r="J64" s="13" t="s">
        <v>64</v>
      </c>
      <c r="K64" s="13" t="s">
        <v>52</v>
      </c>
      <c r="L64" s="13" t="s">
        <v>34</v>
      </c>
      <c r="M64" s="15" t="n">
        <f aca="false">IF(AND(ISNUMBER(H64),ISNUMBER(I64)),H64*I64,"")</f>
        <v>1650</v>
      </c>
    </row>
    <row r="65" customFormat="false" ht="15" hidden="false" customHeight="false" outlineLevel="0" collapsed="false">
      <c r="A65" s="13" t="n">
        <v>1236</v>
      </c>
      <c r="B65" s="14" t="n">
        <v>46195</v>
      </c>
      <c r="C65" s="13" t="s">
        <v>182</v>
      </c>
      <c r="D65" s="13" t="s">
        <v>183</v>
      </c>
      <c r="E65" s="13" t="s">
        <v>24</v>
      </c>
      <c r="F65" s="13" t="s">
        <v>91</v>
      </c>
      <c r="G65" s="13" t="s">
        <v>71</v>
      </c>
      <c r="H65" s="13" t="n">
        <v>1</v>
      </c>
      <c r="I65" s="15" t="n">
        <v>300</v>
      </c>
      <c r="J65" s="13" t="s">
        <v>72</v>
      </c>
      <c r="K65" s="13" t="s">
        <v>75</v>
      </c>
      <c r="L65" s="13" t="s">
        <v>34</v>
      </c>
      <c r="M65" s="15" t="n">
        <f aca="false">IF(AND(ISNUMBER(H65),ISNUMBER(I65)),H65*I65,"")</f>
        <v>300</v>
      </c>
    </row>
    <row r="66" customFormat="false" ht="15" hidden="false" customHeight="false" outlineLevel="0" collapsed="false">
      <c r="A66" s="13" t="n">
        <v>1043</v>
      </c>
      <c r="B66" s="14" t="n">
        <v>46196</v>
      </c>
      <c r="C66" s="13" t="s">
        <v>184</v>
      </c>
      <c r="D66" s="13" t="s">
        <v>185</v>
      </c>
      <c r="E66" s="13" t="s">
        <v>24</v>
      </c>
      <c r="F66" s="13" t="s">
        <v>17</v>
      </c>
      <c r="G66" s="13" t="s">
        <v>86</v>
      </c>
      <c r="H66" s="13" t="n">
        <v>2</v>
      </c>
      <c r="I66" s="15" t="n">
        <v>900</v>
      </c>
      <c r="J66" s="13" t="s">
        <v>64</v>
      </c>
      <c r="K66" s="13" t="s">
        <v>58</v>
      </c>
      <c r="L66" s="13" t="s">
        <v>34</v>
      </c>
      <c r="M66" s="15" t="n">
        <f aca="false">IF(AND(ISNUMBER(H66),ISNUMBER(I66)),H66*I66,"")</f>
        <v>1800</v>
      </c>
    </row>
    <row r="67" customFormat="false" ht="15" hidden="false" customHeight="false" outlineLevel="0" collapsed="false">
      <c r="A67" s="13" t="n">
        <v>1279</v>
      </c>
      <c r="B67" s="14" t="n">
        <v>46184</v>
      </c>
      <c r="C67" s="13" t="s">
        <v>182</v>
      </c>
      <c r="D67" s="13" t="s">
        <v>68</v>
      </c>
      <c r="E67" s="13" t="s">
        <v>27</v>
      </c>
      <c r="F67" s="13" t="s">
        <v>96</v>
      </c>
      <c r="G67" s="13" t="s">
        <v>56</v>
      </c>
      <c r="H67" s="13" t="n">
        <v>1</v>
      </c>
      <c r="I67" s="15" t="n">
        <v>320</v>
      </c>
      <c r="J67" s="13" t="s">
        <v>64</v>
      </c>
      <c r="K67" s="13" t="s">
        <v>58</v>
      </c>
      <c r="L67" s="13" t="s">
        <v>34</v>
      </c>
      <c r="M67" s="15" t="n">
        <f aca="false">IF(AND(ISNUMBER(H67),ISNUMBER(I67)),H67*I67,"")</f>
        <v>320</v>
      </c>
    </row>
    <row r="68" customFormat="false" ht="15" hidden="false" customHeight="false" outlineLevel="0" collapsed="false">
      <c r="A68" s="13" t="n">
        <v>1089</v>
      </c>
      <c r="B68" s="14" t="n">
        <v>46222</v>
      </c>
      <c r="C68" s="13" t="s">
        <v>186</v>
      </c>
      <c r="D68" s="13" t="s">
        <v>187</v>
      </c>
      <c r="E68" s="13" t="s">
        <v>25</v>
      </c>
      <c r="F68" s="13" t="s">
        <v>19</v>
      </c>
      <c r="G68" s="13" t="s">
        <v>86</v>
      </c>
      <c r="H68" s="13" t="n">
        <v>1</v>
      </c>
      <c r="I68" s="15" t="n">
        <v>750</v>
      </c>
      <c r="J68" s="13" t="s">
        <v>51</v>
      </c>
      <c r="K68" s="13" t="s">
        <v>80</v>
      </c>
      <c r="L68" s="13" t="s">
        <v>35</v>
      </c>
      <c r="M68" s="15" t="n">
        <f aca="false">IF(AND(ISNUMBER(H68),ISNUMBER(I68)),H68*I68,"")</f>
        <v>750</v>
      </c>
    </row>
    <row r="69" customFormat="false" ht="15" hidden="false" customHeight="false" outlineLevel="0" collapsed="false">
      <c r="A69" s="13" t="n">
        <v>1038</v>
      </c>
      <c r="B69" s="14" t="n">
        <v>46178</v>
      </c>
      <c r="C69" s="13" t="s">
        <v>188</v>
      </c>
      <c r="D69" s="13" t="s">
        <v>189</v>
      </c>
      <c r="E69" s="13" t="s">
        <v>25</v>
      </c>
      <c r="F69" s="13" t="s">
        <v>96</v>
      </c>
      <c r="G69" s="13" t="s">
        <v>56</v>
      </c>
      <c r="H69" s="13" t="n">
        <v>1</v>
      </c>
      <c r="I69" s="15" t="n">
        <v>320</v>
      </c>
      <c r="J69" s="13" t="s">
        <v>51</v>
      </c>
      <c r="K69" s="13" t="s">
        <v>58</v>
      </c>
      <c r="L69" s="13" t="s">
        <v>34</v>
      </c>
      <c r="M69" s="15" t="n">
        <f aca="false">IF(AND(ISNUMBER(H69),ISNUMBER(I69)),H69*I69,"")</f>
        <v>320</v>
      </c>
    </row>
    <row r="70" customFormat="false" ht="15" hidden="false" customHeight="false" outlineLevel="0" collapsed="false">
      <c r="A70" s="13" t="n">
        <v>1240</v>
      </c>
      <c r="B70" s="14" t="n">
        <v>46222</v>
      </c>
      <c r="C70" s="13" t="s">
        <v>190</v>
      </c>
      <c r="D70" s="13" t="s">
        <v>191</v>
      </c>
      <c r="E70" s="13" t="s">
        <v>24</v>
      </c>
      <c r="F70" s="13" t="s">
        <v>49</v>
      </c>
      <c r="G70" s="13" t="s">
        <v>50</v>
      </c>
      <c r="H70" s="13" t="n">
        <v>2</v>
      </c>
      <c r="I70" s="15" t="n">
        <v>120</v>
      </c>
      <c r="J70" s="13" t="s">
        <v>72</v>
      </c>
      <c r="K70" s="13" t="s">
        <v>58</v>
      </c>
      <c r="L70" s="13" t="s">
        <v>35</v>
      </c>
      <c r="M70" s="15" t="n">
        <f aca="false">IF(AND(ISNUMBER(H70),ISNUMBER(I70)),H70*I70,"")</f>
        <v>240</v>
      </c>
    </row>
    <row r="71" customFormat="false" ht="15" hidden="false" customHeight="false" outlineLevel="0" collapsed="false">
      <c r="A71" s="13" t="n">
        <v>1328</v>
      </c>
      <c r="B71" s="14" t="n">
        <v>46241</v>
      </c>
      <c r="C71" s="13" t="s">
        <v>192</v>
      </c>
      <c r="D71" s="13" t="s">
        <v>193</v>
      </c>
      <c r="E71" s="13" t="s">
        <v>26</v>
      </c>
      <c r="F71" s="13" t="s">
        <v>19</v>
      </c>
      <c r="G71" s="13" t="s">
        <v>86</v>
      </c>
      <c r="H71" s="13" t="n">
        <v>1</v>
      </c>
      <c r="I71" s="15" t="n">
        <v>750</v>
      </c>
      <c r="J71" s="13" t="s">
        <v>57</v>
      </c>
      <c r="K71" s="13" t="s">
        <v>58</v>
      </c>
      <c r="L71" s="13" t="s">
        <v>36</v>
      </c>
      <c r="M71" s="15" t="n">
        <f aca="false">IF(AND(ISNUMBER(H71),ISNUMBER(I71)),H71*I71,"")</f>
        <v>750</v>
      </c>
    </row>
    <row r="72" customFormat="false" ht="15" hidden="false" customHeight="false" outlineLevel="0" collapsed="false">
      <c r="A72" s="13" t="n">
        <v>1055</v>
      </c>
      <c r="B72" s="14" t="n">
        <v>46220</v>
      </c>
      <c r="C72" s="13" t="s">
        <v>194</v>
      </c>
      <c r="D72" s="13" t="s">
        <v>195</v>
      </c>
      <c r="E72" s="13" t="s">
        <v>26</v>
      </c>
      <c r="F72" s="13" t="s">
        <v>16</v>
      </c>
      <c r="G72" s="13" t="s">
        <v>101</v>
      </c>
      <c r="H72" s="13" t="n">
        <v>1</v>
      </c>
      <c r="I72" s="15"/>
      <c r="J72" s="13" t="s">
        <v>72</v>
      </c>
      <c r="K72" s="13" t="s">
        <v>58</v>
      </c>
      <c r="L72" s="13" t="s">
        <v>35</v>
      </c>
      <c r="M72" s="15" t="str">
        <f aca="false">IF(AND(ISNUMBER(H72),ISNUMBER(I72)),H72*I72,"")</f>
        <v/>
      </c>
    </row>
    <row r="73" customFormat="false" ht="15" hidden="false" customHeight="false" outlineLevel="0" collapsed="false">
      <c r="A73" s="13" t="n">
        <v>1407</v>
      </c>
      <c r="B73" s="14" t="n">
        <v>46241</v>
      </c>
      <c r="C73" s="13" t="s">
        <v>196</v>
      </c>
      <c r="D73" s="13" t="s">
        <v>197</v>
      </c>
      <c r="E73" s="13" t="s">
        <v>26</v>
      </c>
      <c r="F73" s="13" t="s">
        <v>131</v>
      </c>
      <c r="G73" s="13" t="s">
        <v>56</v>
      </c>
      <c r="H73" s="13" t="n">
        <v>1</v>
      </c>
      <c r="I73" s="15" t="n">
        <v>180</v>
      </c>
      <c r="J73" s="13" t="s">
        <v>64</v>
      </c>
      <c r="K73" s="13" t="s">
        <v>80</v>
      </c>
      <c r="L73" s="13" t="s">
        <v>36</v>
      </c>
      <c r="M73" s="15" t="n">
        <f aca="false">IF(AND(ISNUMBER(H73),ISNUMBER(I73)),H73*I73,"")</f>
        <v>180</v>
      </c>
    </row>
    <row r="74" customFormat="false" ht="15" hidden="false" customHeight="false" outlineLevel="0" collapsed="false">
      <c r="A74" s="13" t="n">
        <v>1365</v>
      </c>
      <c r="B74" s="14" t="n">
        <v>46246</v>
      </c>
      <c r="C74" s="13" t="s">
        <v>198</v>
      </c>
      <c r="D74" s="13" t="s">
        <v>199</v>
      </c>
      <c r="E74" s="13" t="s">
        <v>25</v>
      </c>
      <c r="F74" s="13" t="s">
        <v>131</v>
      </c>
      <c r="G74" s="13" t="s">
        <v>56</v>
      </c>
      <c r="H74" s="13" t="n">
        <v>1</v>
      </c>
      <c r="I74" s="15" t="n">
        <v>180</v>
      </c>
      <c r="J74" s="13" t="s">
        <v>51</v>
      </c>
      <c r="K74" s="13" t="s">
        <v>58</v>
      </c>
      <c r="L74" s="13" t="s">
        <v>36</v>
      </c>
      <c r="M74" s="15" t="n">
        <f aca="false">IF(AND(ISNUMBER(H74),ISNUMBER(I74)),H74*I74,"")</f>
        <v>180</v>
      </c>
    </row>
    <row r="75" customFormat="false" ht="15" hidden="false" customHeight="false" outlineLevel="0" collapsed="false">
      <c r="A75" s="13" t="n">
        <v>1213</v>
      </c>
      <c r="B75" s="14" t="n">
        <v>46229</v>
      </c>
      <c r="C75" s="13" t="s">
        <v>200</v>
      </c>
      <c r="D75" s="13" t="s">
        <v>201</v>
      </c>
      <c r="E75" s="13" t="s">
        <v>29</v>
      </c>
      <c r="F75" s="13" t="s">
        <v>17</v>
      </c>
      <c r="G75" s="13" t="s">
        <v>86</v>
      </c>
      <c r="H75" s="13" t="n">
        <v>3</v>
      </c>
      <c r="I75" s="15" t="n">
        <v>900</v>
      </c>
      <c r="J75" s="13" t="s">
        <v>64</v>
      </c>
      <c r="K75" s="13" t="s">
        <v>58</v>
      </c>
      <c r="L75" s="13" t="s">
        <v>35</v>
      </c>
      <c r="M75" s="15" t="n">
        <f aca="false">IF(AND(ISNUMBER(H75),ISNUMBER(I75)),H75*I75,"")</f>
        <v>2700</v>
      </c>
    </row>
    <row r="76" customFormat="false" ht="15" hidden="false" customHeight="false" outlineLevel="0" collapsed="false">
      <c r="A76" s="13" t="n">
        <v>1355</v>
      </c>
      <c r="B76" s="14" t="n">
        <v>46175</v>
      </c>
      <c r="C76" s="13" t="s">
        <v>202</v>
      </c>
      <c r="D76" s="13" t="s">
        <v>203</v>
      </c>
      <c r="E76" s="13" t="s">
        <v>26</v>
      </c>
      <c r="F76" s="13" t="s">
        <v>20</v>
      </c>
      <c r="G76" s="13" t="s">
        <v>71</v>
      </c>
      <c r="H76" s="13" t="n">
        <v>1</v>
      </c>
      <c r="I76" s="15" t="n">
        <v>550</v>
      </c>
      <c r="J76" s="13" t="s">
        <v>64</v>
      </c>
      <c r="K76" s="13" t="s">
        <v>80</v>
      </c>
      <c r="L76" s="13" t="s">
        <v>34</v>
      </c>
      <c r="M76" s="15" t="n">
        <f aca="false">IF(AND(ISNUMBER(H76),ISNUMBER(I76)),H76*I76,"")</f>
        <v>550</v>
      </c>
    </row>
    <row r="77" customFormat="false" ht="15" hidden="false" customHeight="false" outlineLevel="0" collapsed="false">
      <c r="A77" s="13" t="n">
        <v>1173</v>
      </c>
      <c r="B77" s="14" t="n">
        <v>46183</v>
      </c>
      <c r="C77" s="13" t="s">
        <v>204</v>
      </c>
      <c r="D77" s="13" t="s">
        <v>205</v>
      </c>
      <c r="E77" s="13" t="s">
        <v>24</v>
      </c>
      <c r="F77" s="13" t="s">
        <v>49</v>
      </c>
      <c r="G77" s="13" t="s">
        <v>50</v>
      </c>
      <c r="H77" s="13" t="n">
        <v>1</v>
      </c>
      <c r="I77" s="15" t="n">
        <v>120</v>
      </c>
      <c r="J77" s="13" t="s">
        <v>57</v>
      </c>
      <c r="K77" s="13" t="s">
        <v>80</v>
      </c>
      <c r="L77" s="13" t="s">
        <v>34</v>
      </c>
      <c r="M77" s="15" t="n">
        <f aca="false">IF(AND(ISNUMBER(H77),ISNUMBER(I77)),H77*I77,"")</f>
        <v>120</v>
      </c>
    </row>
    <row r="78" customFormat="false" ht="15" hidden="false" customHeight="false" outlineLevel="0" collapsed="false">
      <c r="A78" s="13" t="n">
        <v>1327</v>
      </c>
      <c r="B78" s="14" t="n">
        <v>46234</v>
      </c>
      <c r="C78" s="13" t="s">
        <v>206</v>
      </c>
      <c r="D78" s="13" t="s">
        <v>207</v>
      </c>
      <c r="E78" s="13" t="s">
        <v>25</v>
      </c>
      <c r="F78" s="13" t="s">
        <v>131</v>
      </c>
      <c r="G78" s="13" t="s">
        <v>56</v>
      </c>
      <c r="H78" s="13" t="n">
        <v>1</v>
      </c>
      <c r="I78" s="15" t="n">
        <v>180</v>
      </c>
      <c r="J78" s="13" t="s">
        <v>57</v>
      </c>
      <c r="K78" s="13" t="s">
        <v>58</v>
      </c>
      <c r="L78" s="13" t="s">
        <v>35</v>
      </c>
      <c r="M78" s="15" t="n">
        <f aca="false">IF(AND(ISNUMBER(H78),ISNUMBER(I78)),H78*I78,"")</f>
        <v>180</v>
      </c>
    </row>
    <row r="79" customFormat="false" ht="15" hidden="false" customHeight="false" outlineLevel="0" collapsed="false">
      <c r="A79" s="13" t="n">
        <v>1439</v>
      </c>
      <c r="B79" s="14" t="n">
        <v>46235</v>
      </c>
      <c r="C79" s="13" t="s">
        <v>204</v>
      </c>
      <c r="D79" s="13" t="s">
        <v>208</v>
      </c>
      <c r="E79" s="13" t="s">
        <v>25</v>
      </c>
      <c r="F79" s="13" t="s">
        <v>17</v>
      </c>
      <c r="G79" s="13" t="s">
        <v>86</v>
      </c>
      <c r="H79" s="13" t="n">
        <v>2</v>
      </c>
      <c r="I79" s="15" t="n">
        <v>900</v>
      </c>
      <c r="J79" s="13" t="s">
        <v>51</v>
      </c>
      <c r="K79" s="13" t="s">
        <v>58</v>
      </c>
      <c r="L79" s="13" t="s">
        <v>36</v>
      </c>
      <c r="M79" s="15" t="n">
        <f aca="false">IF(AND(ISNUMBER(H79),ISNUMBER(I79)),H79*I79,"")</f>
        <v>1800</v>
      </c>
    </row>
    <row r="80" customFormat="false" ht="15" hidden="false" customHeight="false" outlineLevel="0" collapsed="false">
      <c r="A80" s="13" t="n">
        <v>1085</v>
      </c>
      <c r="B80" s="14" t="n">
        <v>46239</v>
      </c>
      <c r="C80" s="13" t="s">
        <v>209</v>
      </c>
      <c r="D80" s="13" t="s">
        <v>210</v>
      </c>
      <c r="E80" s="13" t="s">
        <v>25</v>
      </c>
      <c r="F80" s="13" t="s">
        <v>19</v>
      </c>
      <c r="G80" s="13" t="s">
        <v>86</v>
      </c>
      <c r="H80" s="13" t="n">
        <v>2</v>
      </c>
      <c r="I80" s="15" t="n">
        <v>750</v>
      </c>
      <c r="J80" s="13" t="s">
        <v>64</v>
      </c>
      <c r="K80" s="13" t="s">
        <v>58</v>
      </c>
      <c r="L80" s="13" t="s">
        <v>36</v>
      </c>
      <c r="M80" s="15" t="n">
        <f aca="false">IF(AND(ISNUMBER(H80),ISNUMBER(I80)),H80*I80,"")</f>
        <v>1500</v>
      </c>
    </row>
    <row r="81" customFormat="false" ht="15" hidden="false" customHeight="false" outlineLevel="0" collapsed="false">
      <c r="A81" s="13" t="n">
        <v>1420</v>
      </c>
      <c r="B81" s="14" t="n">
        <v>46243</v>
      </c>
      <c r="C81" s="13" t="s">
        <v>211</v>
      </c>
      <c r="D81" s="13" t="s">
        <v>212</v>
      </c>
      <c r="E81" s="13" t="s">
        <v>27</v>
      </c>
      <c r="F81" s="13" t="s">
        <v>91</v>
      </c>
      <c r="G81" s="13" t="s">
        <v>71</v>
      </c>
      <c r="H81" s="13" t="n">
        <v>1</v>
      </c>
      <c r="I81" s="15" t="n">
        <v>300</v>
      </c>
      <c r="J81" s="13" t="s">
        <v>51</v>
      </c>
      <c r="K81" s="13" t="s">
        <v>80</v>
      </c>
      <c r="L81" s="13" t="s">
        <v>36</v>
      </c>
      <c r="M81" s="15" t="n">
        <f aca="false">IF(AND(ISNUMBER(H81),ISNUMBER(I81)),H81*I81,"")</f>
        <v>300</v>
      </c>
    </row>
    <row r="82" customFormat="false" ht="15" hidden="false" customHeight="false" outlineLevel="0" collapsed="false">
      <c r="A82" s="13" t="n">
        <v>1263</v>
      </c>
      <c r="B82" s="14" t="n">
        <v>46227</v>
      </c>
      <c r="C82" s="13" t="s">
        <v>213</v>
      </c>
      <c r="D82" s="13" t="s">
        <v>68</v>
      </c>
      <c r="E82" s="13" t="s">
        <v>28</v>
      </c>
      <c r="F82" s="13" t="s">
        <v>49</v>
      </c>
      <c r="G82" s="13" t="s">
        <v>50</v>
      </c>
      <c r="H82" s="13" t="n">
        <v>3</v>
      </c>
      <c r="I82" s="15" t="n">
        <v>120</v>
      </c>
      <c r="J82" s="13" t="s">
        <v>64</v>
      </c>
      <c r="K82" s="13" t="s">
        <v>52</v>
      </c>
      <c r="L82" s="13" t="s">
        <v>35</v>
      </c>
      <c r="M82" s="15" t="n">
        <f aca="false">IF(AND(ISNUMBER(H82),ISNUMBER(I82)),H82*I82,"")</f>
        <v>360</v>
      </c>
    </row>
    <row r="83" customFormat="false" ht="15" hidden="false" customHeight="false" outlineLevel="0" collapsed="false">
      <c r="A83" s="13" t="n">
        <v>1136</v>
      </c>
      <c r="B83" s="14" t="n">
        <v>46252</v>
      </c>
      <c r="C83" s="13" t="s">
        <v>214</v>
      </c>
      <c r="D83" s="13" t="s">
        <v>215</v>
      </c>
      <c r="E83" s="13" t="s">
        <v>25</v>
      </c>
      <c r="F83" s="13" t="s">
        <v>131</v>
      </c>
      <c r="G83" s="13" t="s">
        <v>56</v>
      </c>
      <c r="H83" s="13" t="n">
        <v>3</v>
      </c>
      <c r="I83" s="15" t="n">
        <v>180</v>
      </c>
      <c r="J83" s="13" t="s">
        <v>57</v>
      </c>
      <c r="K83" s="13" t="s">
        <v>58</v>
      </c>
      <c r="L83" s="13" t="s">
        <v>36</v>
      </c>
      <c r="M83" s="15" t="n">
        <f aca="false">IF(AND(ISNUMBER(H83),ISNUMBER(I83)),H83*I83,"")</f>
        <v>540</v>
      </c>
    </row>
    <row r="84" customFormat="false" ht="15" hidden="false" customHeight="false" outlineLevel="0" collapsed="false">
      <c r="A84" s="13" t="n">
        <v>1278</v>
      </c>
      <c r="B84" s="14" t="n">
        <v>46183</v>
      </c>
      <c r="C84" s="13" t="s">
        <v>216</v>
      </c>
      <c r="D84" s="13" t="s">
        <v>217</v>
      </c>
      <c r="E84" s="13" t="s">
        <v>28</v>
      </c>
      <c r="F84" s="13" t="s">
        <v>19</v>
      </c>
      <c r="G84" s="13" t="s">
        <v>86</v>
      </c>
      <c r="H84" s="13" t="n">
        <v>1</v>
      </c>
      <c r="I84" s="15" t="n">
        <v>750</v>
      </c>
      <c r="J84" s="13" t="s">
        <v>64</v>
      </c>
      <c r="K84" s="13" t="s">
        <v>52</v>
      </c>
      <c r="L84" s="13" t="s">
        <v>34</v>
      </c>
      <c r="M84" s="15" t="n">
        <f aca="false">IF(AND(ISNUMBER(H84),ISNUMBER(I84)),H84*I84,"")</f>
        <v>750</v>
      </c>
    </row>
    <row r="85" customFormat="false" ht="15" hidden="false" customHeight="false" outlineLevel="0" collapsed="false">
      <c r="A85" s="13" t="n">
        <v>1140</v>
      </c>
      <c r="B85" s="14" t="n">
        <v>46231</v>
      </c>
      <c r="C85" s="13" t="s">
        <v>218</v>
      </c>
      <c r="D85" s="13" t="s">
        <v>219</v>
      </c>
      <c r="E85" s="13" t="s">
        <v>26</v>
      </c>
      <c r="F85" s="13" t="s">
        <v>19</v>
      </c>
      <c r="G85" s="13" t="s">
        <v>86</v>
      </c>
      <c r="H85" s="13" t="n">
        <v>1</v>
      </c>
      <c r="I85" s="15" t="n">
        <v>750</v>
      </c>
      <c r="J85" s="13" t="s">
        <v>51</v>
      </c>
      <c r="K85" s="13" t="s">
        <v>75</v>
      </c>
      <c r="L85" s="13" t="s">
        <v>35</v>
      </c>
      <c r="M85" s="15" t="n">
        <f aca="false">IF(AND(ISNUMBER(H85),ISNUMBER(I85)),H85*I85,"")</f>
        <v>750</v>
      </c>
    </row>
    <row r="86" customFormat="false" ht="15" hidden="false" customHeight="false" outlineLevel="0" collapsed="false">
      <c r="A86" s="13" t="n">
        <v>1262</v>
      </c>
      <c r="B86" s="14" t="n">
        <v>46255</v>
      </c>
      <c r="C86" s="13" t="s">
        <v>220</v>
      </c>
      <c r="D86" s="13" t="s">
        <v>221</v>
      </c>
      <c r="E86" s="13" t="s">
        <v>24</v>
      </c>
      <c r="F86" s="13" t="s">
        <v>49</v>
      </c>
      <c r="G86" s="13" t="s">
        <v>50</v>
      </c>
      <c r="H86" s="13" t="n">
        <v>1</v>
      </c>
      <c r="I86" s="15" t="n">
        <v>120</v>
      </c>
      <c r="J86" s="13" t="s">
        <v>57</v>
      </c>
      <c r="K86" s="13" t="s">
        <v>52</v>
      </c>
      <c r="L86" s="13" t="s">
        <v>36</v>
      </c>
      <c r="M86" s="15" t="n">
        <f aca="false">IF(AND(ISNUMBER(H86),ISNUMBER(I86)),H86*I86,"")</f>
        <v>120</v>
      </c>
    </row>
    <row r="87" customFormat="false" ht="15" hidden="false" customHeight="false" outlineLevel="0" collapsed="false">
      <c r="A87" s="13" t="n">
        <v>1129</v>
      </c>
      <c r="B87" s="14" t="n">
        <v>46244</v>
      </c>
      <c r="C87" s="13" t="s">
        <v>222</v>
      </c>
      <c r="D87" s="13" t="s">
        <v>223</v>
      </c>
      <c r="E87" s="13" t="s">
        <v>24</v>
      </c>
      <c r="F87" s="13" t="s">
        <v>16</v>
      </c>
      <c r="G87" s="13" t="s">
        <v>101</v>
      </c>
      <c r="H87" s="13" t="n">
        <v>1</v>
      </c>
      <c r="I87" s="15" t="n">
        <v>1100</v>
      </c>
      <c r="J87" s="13" t="s">
        <v>64</v>
      </c>
      <c r="K87" s="13" t="s">
        <v>75</v>
      </c>
      <c r="L87" s="13" t="s">
        <v>36</v>
      </c>
      <c r="M87" s="15" t="n">
        <f aca="false">IF(AND(ISNUMBER(H87),ISNUMBER(I87)),H87*I87,"")</f>
        <v>1100</v>
      </c>
    </row>
    <row r="88" customFormat="false" ht="15" hidden="false" customHeight="false" outlineLevel="0" collapsed="false">
      <c r="A88" s="13" t="n">
        <v>1445</v>
      </c>
      <c r="B88" s="14" t="n">
        <v>46218</v>
      </c>
      <c r="C88" s="13" t="s">
        <v>224</v>
      </c>
      <c r="D88" s="13" t="s">
        <v>225</v>
      </c>
      <c r="E88" s="13" t="s">
        <v>24</v>
      </c>
      <c r="F88" s="13" t="s">
        <v>55</v>
      </c>
      <c r="G88" s="13" t="s">
        <v>56</v>
      </c>
      <c r="H88" s="13" t="n">
        <v>1</v>
      </c>
      <c r="I88" s="15" t="n">
        <v>450</v>
      </c>
      <c r="J88" s="13" t="s">
        <v>72</v>
      </c>
      <c r="K88" s="13" t="s">
        <v>58</v>
      </c>
      <c r="L88" s="13" t="s">
        <v>35</v>
      </c>
      <c r="M88" s="15" t="n">
        <f aca="false">IF(AND(ISNUMBER(H88),ISNUMBER(I88)),H88*I88,"")</f>
        <v>450</v>
      </c>
    </row>
    <row r="89" customFormat="false" ht="15" hidden="false" customHeight="false" outlineLevel="0" collapsed="false">
      <c r="A89" s="13" t="n">
        <v>1230</v>
      </c>
      <c r="B89" s="14" t="n">
        <v>46240</v>
      </c>
      <c r="C89" s="13" t="s">
        <v>226</v>
      </c>
      <c r="D89" s="13" t="s">
        <v>227</v>
      </c>
      <c r="E89" s="13" t="s">
        <v>25</v>
      </c>
      <c r="F89" s="13" t="s">
        <v>49</v>
      </c>
      <c r="G89" s="13" t="s">
        <v>50</v>
      </c>
      <c r="H89" s="13" t="n">
        <v>1</v>
      </c>
      <c r="I89" s="15" t="n">
        <v>120</v>
      </c>
      <c r="J89" s="13" t="s">
        <v>57</v>
      </c>
      <c r="K89" s="13" t="s">
        <v>58</v>
      </c>
      <c r="L89" s="13" t="s">
        <v>36</v>
      </c>
      <c r="M89" s="15" t="n">
        <f aca="false">IF(AND(ISNUMBER(H89),ISNUMBER(I89)),H89*I89,"")</f>
        <v>120</v>
      </c>
    </row>
    <row r="90" customFormat="false" ht="15" hidden="false" customHeight="false" outlineLevel="0" collapsed="false">
      <c r="A90" s="13" t="n">
        <v>1159</v>
      </c>
      <c r="B90" s="14" t="n">
        <v>46188</v>
      </c>
      <c r="C90" s="13" t="s">
        <v>228</v>
      </c>
      <c r="D90" s="13" t="s">
        <v>229</v>
      </c>
      <c r="E90" s="13" t="s">
        <v>27</v>
      </c>
      <c r="F90" s="13" t="s">
        <v>16</v>
      </c>
      <c r="G90" s="13" t="s">
        <v>101</v>
      </c>
      <c r="H90" s="13" t="n">
        <v>3</v>
      </c>
      <c r="I90" s="15" t="n">
        <v>1100</v>
      </c>
      <c r="J90" s="13" t="s">
        <v>57</v>
      </c>
      <c r="K90" s="13" t="s">
        <v>75</v>
      </c>
      <c r="L90" s="13" t="s">
        <v>34</v>
      </c>
      <c r="M90" s="15" t="n">
        <f aca="false">IF(AND(ISNUMBER(H90),ISNUMBER(I90)),H90*I90,"")</f>
        <v>3300</v>
      </c>
    </row>
    <row r="91" customFormat="false" ht="15" hidden="false" customHeight="false" outlineLevel="0" collapsed="false">
      <c r="A91" s="13" t="n">
        <v>1234</v>
      </c>
      <c r="B91" s="14" t="n">
        <v>46235</v>
      </c>
      <c r="C91" s="13" t="s">
        <v>230</v>
      </c>
      <c r="D91" s="13" t="s">
        <v>231</v>
      </c>
      <c r="E91" s="13" t="s">
        <v>26</v>
      </c>
      <c r="F91" s="13" t="s">
        <v>96</v>
      </c>
      <c r="G91" s="13" t="s">
        <v>56</v>
      </c>
      <c r="H91" s="13" t="n">
        <v>1</v>
      </c>
      <c r="I91" s="15" t="n">
        <v>320</v>
      </c>
      <c r="J91" s="13" t="s">
        <v>72</v>
      </c>
      <c r="K91" s="13" t="s">
        <v>58</v>
      </c>
      <c r="L91" s="13" t="s">
        <v>36</v>
      </c>
      <c r="M91" s="15" t="n">
        <f aca="false">IF(AND(ISNUMBER(H91),ISNUMBER(I91)),H91*I91,"")</f>
        <v>320</v>
      </c>
    </row>
    <row r="92" customFormat="false" ht="15" hidden="false" customHeight="false" outlineLevel="0" collapsed="false">
      <c r="A92" s="13" t="n">
        <v>1346</v>
      </c>
      <c r="B92" s="14" t="n">
        <v>46221</v>
      </c>
      <c r="C92" s="13" t="s">
        <v>213</v>
      </c>
      <c r="D92" s="13" t="s">
        <v>232</v>
      </c>
      <c r="E92" s="13" t="s">
        <v>24</v>
      </c>
      <c r="F92" s="13" t="s">
        <v>19</v>
      </c>
      <c r="G92" s="13" t="s">
        <v>86</v>
      </c>
      <c r="H92" s="13" t="n">
        <v>1</v>
      </c>
      <c r="I92" s="15" t="n">
        <v>750</v>
      </c>
      <c r="J92" s="13" t="s">
        <v>72</v>
      </c>
      <c r="K92" s="13" t="s">
        <v>58</v>
      </c>
      <c r="L92" s="13" t="s">
        <v>35</v>
      </c>
      <c r="M92" s="15" t="n">
        <f aca="false">IF(AND(ISNUMBER(H92),ISNUMBER(I92)),H92*I92,"")</f>
        <v>750</v>
      </c>
    </row>
    <row r="93" customFormat="false" ht="15" hidden="false" customHeight="false" outlineLevel="0" collapsed="false">
      <c r="A93" s="13" t="n">
        <v>1363</v>
      </c>
      <c r="B93" s="14" t="n">
        <v>46220</v>
      </c>
      <c r="C93" s="13" t="s">
        <v>233</v>
      </c>
      <c r="D93" s="13" t="s">
        <v>234</v>
      </c>
      <c r="E93" s="13" t="s">
        <v>25</v>
      </c>
      <c r="F93" s="13" t="s">
        <v>16</v>
      </c>
      <c r="G93" s="13" t="s">
        <v>101</v>
      </c>
      <c r="H93" s="13" t="n">
        <v>1</v>
      </c>
      <c r="I93" s="15" t="n">
        <v>1100</v>
      </c>
      <c r="J93" s="13" t="s">
        <v>51</v>
      </c>
      <c r="K93" s="13" t="s">
        <v>75</v>
      </c>
      <c r="L93" s="13" t="s">
        <v>35</v>
      </c>
      <c r="M93" s="15" t="n">
        <f aca="false">IF(AND(ISNUMBER(H93),ISNUMBER(I93)),H93*I93,"")</f>
        <v>1100</v>
      </c>
    </row>
    <row r="94" customFormat="false" ht="15" hidden="false" customHeight="false" outlineLevel="0" collapsed="false">
      <c r="A94" s="13" t="n">
        <v>1402</v>
      </c>
      <c r="B94" s="14" t="n">
        <v>46209</v>
      </c>
      <c r="C94" s="13" t="s">
        <v>235</v>
      </c>
      <c r="D94" s="13" t="s">
        <v>236</v>
      </c>
      <c r="E94" s="13" t="s">
        <v>29</v>
      </c>
      <c r="F94" s="13" t="s">
        <v>20</v>
      </c>
      <c r="G94" s="13" t="s">
        <v>71</v>
      </c>
      <c r="H94" s="13" t="n">
        <v>2</v>
      </c>
      <c r="I94" s="15" t="n">
        <v>550</v>
      </c>
      <c r="J94" s="13" t="s">
        <v>72</v>
      </c>
      <c r="K94" s="13" t="s">
        <v>58</v>
      </c>
      <c r="L94" s="13" t="s">
        <v>35</v>
      </c>
      <c r="M94" s="15" t="n">
        <f aca="false">IF(AND(ISNUMBER(H94),ISNUMBER(I94)),H94*I94,"")</f>
        <v>1100</v>
      </c>
    </row>
    <row r="95" customFormat="false" ht="15" hidden="false" customHeight="false" outlineLevel="0" collapsed="false">
      <c r="A95" s="13" t="n">
        <v>1033</v>
      </c>
      <c r="B95" s="14" t="n">
        <v>46251</v>
      </c>
      <c r="C95" s="13" t="s">
        <v>237</v>
      </c>
      <c r="D95" s="13" t="s">
        <v>238</v>
      </c>
      <c r="E95" s="13" t="s">
        <v>24</v>
      </c>
      <c r="F95" s="13" t="s">
        <v>19</v>
      </c>
      <c r="G95" s="13" t="s">
        <v>86</v>
      </c>
      <c r="H95" s="13" t="n">
        <v>2</v>
      </c>
      <c r="I95" s="15" t="n">
        <v>750</v>
      </c>
      <c r="J95" s="13" t="s">
        <v>72</v>
      </c>
      <c r="K95" s="13" t="s">
        <v>52</v>
      </c>
      <c r="L95" s="13" t="s">
        <v>36</v>
      </c>
      <c r="M95" s="15" t="n">
        <f aca="false">IF(AND(ISNUMBER(H95),ISNUMBER(I95)),H95*I95,"")</f>
        <v>1500</v>
      </c>
    </row>
    <row r="96" customFormat="false" ht="15" hidden="false" customHeight="false" outlineLevel="0" collapsed="false">
      <c r="A96" s="13" t="n">
        <v>1395</v>
      </c>
      <c r="B96" s="14" t="n">
        <v>46187</v>
      </c>
      <c r="C96" s="13" t="s">
        <v>239</v>
      </c>
      <c r="D96" s="13" t="s">
        <v>240</v>
      </c>
      <c r="E96" s="13" t="s">
        <v>24</v>
      </c>
      <c r="F96" s="13" t="s">
        <v>20</v>
      </c>
      <c r="G96" s="13" t="s">
        <v>71</v>
      </c>
      <c r="H96" s="13" t="n">
        <v>1</v>
      </c>
      <c r="I96" s="15" t="n">
        <v>550</v>
      </c>
      <c r="J96" s="13" t="s">
        <v>51</v>
      </c>
      <c r="K96" s="13" t="s">
        <v>58</v>
      </c>
      <c r="L96" s="13" t="s">
        <v>34</v>
      </c>
      <c r="M96" s="15" t="n">
        <f aca="false">IF(AND(ISNUMBER(H96),ISNUMBER(I96)),H96*I96,"")</f>
        <v>550</v>
      </c>
    </row>
    <row r="97" customFormat="false" ht="15" hidden="false" customHeight="false" outlineLevel="0" collapsed="false">
      <c r="A97" s="13" t="n">
        <v>1276</v>
      </c>
      <c r="B97" s="14" t="n">
        <v>46262</v>
      </c>
      <c r="C97" s="13" t="s">
        <v>241</v>
      </c>
      <c r="D97" s="13" t="s">
        <v>242</v>
      </c>
      <c r="E97" s="13" t="s">
        <v>24</v>
      </c>
      <c r="F97" s="13" t="s">
        <v>96</v>
      </c>
      <c r="G97" s="13" t="s">
        <v>56</v>
      </c>
      <c r="H97" s="13" t="n">
        <v>1</v>
      </c>
      <c r="I97" s="15" t="n">
        <v>320</v>
      </c>
      <c r="J97" s="13" t="s">
        <v>64</v>
      </c>
      <c r="K97" s="13" t="s">
        <v>75</v>
      </c>
      <c r="L97" s="13" t="s">
        <v>36</v>
      </c>
      <c r="M97" s="15" t="n">
        <f aca="false">IF(AND(ISNUMBER(H97),ISNUMBER(I97)),H97*I97,"")</f>
        <v>320</v>
      </c>
    </row>
    <row r="98" customFormat="false" ht="15" hidden="false" customHeight="false" outlineLevel="0" collapsed="false">
      <c r="A98" s="13" t="n">
        <v>1197</v>
      </c>
      <c r="B98" s="14" t="n">
        <v>46208</v>
      </c>
      <c r="C98" s="13" t="s">
        <v>243</v>
      </c>
      <c r="D98" s="13" t="s">
        <v>244</v>
      </c>
      <c r="E98" s="13" t="s">
        <v>24</v>
      </c>
      <c r="F98" s="13" t="s">
        <v>49</v>
      </c>
      <c r="G98" s="13" t="s">
        <v>50</v>
      </c>
      <c r="H98" s="13" t="n">
        <v>2</v>
      </c>
      <c r="I98" s="15" t="n">
        <v>120</v>
      </c>
      <c r="J98" s="13" t="s">
        <v>51</v>
      </c>
      <c r="K98" s="13" t="s">
        <v>58</v>
      </c>
      <c r="L98" s="13" t="s">
        <v>35</v>
      </c>
      <c r="M98" s="15" t="n">
        <f aca="false">IF(AND(ISNUMBER(H98),ISNUMBER(I98)),H98*I98,"")</f>
        <v>240</v>
      </c>
    </row>
    <row r="99" customFormat="false" ht="15" hidden="false" customHeight="false" outlineLevel="0" collapsed="false">
      <c r="A99" s="13" t="n">
        <v>1344</v>
      </c>
      <c r="B99" s="14" t="n">
        <v>46222</v>
      </c>
      <c r="C99" s="13" t="s">
        <v>245</v>
      </c>
      <c r="D99" s="13" t="s">
        <v>246</v>
      </c>
      <c r="E99" s="13" t="s">
        <v>28</v>
      </c>
      <c r="F99" s="13" t="s">
        <v>20</v>
      </c>
      <c r="G99" s="13" t="s">
        <v>71</v>
      </c>
      <c r="H99" s="13" t="n">
        <v>1</v>
      </c>
      <c r="I99" s="15" t="n">
        <v>550</v>
      </c>
      <c r="J99" s="13" t="s">
        <v>51</v>
      </c>
      <c r="K99" s="13" t="s">
        <v>80</v>
      </c>
      <c r="L99" s="13" t="s">
        <v>35</v>
      </c>
      <c r="M99" s="15" t="n">
        <f aca="false">IF(AND(ISNUMBER(H99),ISNUMBER(I99)),H99*I99,"")</f>
        <v>550</v>
      </c>
    </row>
    <row r="100" customFormat="false" ht="15" hidden="false" customHeight="false" outlineLevel="0" collapsed="false">
      <c r="A100" s="13" t="n">
        <v>1163</v>
      </c>
      <c r="B100" s="14" t="n">
        <v>46224</v>
      </c>
      <c r="C100" s="13" t="s">
        <v>143</v>
      </c>
      <c r="D100" s="13" t="s">
        <v>247</v>
      </c>
      <c r="E100" s="13" t="s">
        <v>27</v>
      </c>
      <c r="F100" s="13" t="s">
        <v>55</v>
      </c>
      <c r="G100" s="13" t="s">
        <v>56</v>
      </c>
      <c r="H100" s="13" t="n">
        <v>1</v>
      </c>
      <c r="I100" s="15" t="n">
        <v>450</v>
      </c>
      <c r="J100" s="13" t="s">
        <v>64</v>
      </c>
      <c r="K100" s="13" t="s">
        <v>58</v>
      </c>
      <c r="L100" s="13" t="s">
        <v>35</v>
      </c>
      <c r="M100" s="15" t="n">
        <f aca="false">IF(AND(ISNUMBER(H100),ISNUMBER(I100)),H100*I100,"")</f>
        <v>450</v>
      </c>
    </row>
    <row r="101" customFormat="false" ht="15" hidden="false" customHeight="false" outlineLevel="0" collapsed="false">
      <c r="A101" s="13" t="n">
        <v>1449</v>
      </c>
      <c r="B101" s="14" t="n">
        <v>46211</v>
      </c>
      <c r="C101" s="13" t="s">
        <v>248</v>
      </c>
      <c r="D101" s="13" t="s">
        <v>249</v>
      </c>
      <c r="E101" s="13" t="s">
        <v>27</v>
      </c>
      <c r="F101" s="13" t="s">
        <v>49</v>
      </c>
      <c r="G101" s="13" t="s">
        <v>50</v>
      </c>
      <c r="H101" s="13" t="n">
        <v>3</v>
      </c>
      <c r="I101" s="15" t="n">
        <v>120</v>
      </c>
      <c r="J101" s="13" t="s">
        <v>57</v>
      </c>
      <c r="K101" s="13" t="s">
        <v>52</v>
      </c>
      <c r="L101" s="13" t="s">
        <v>35</v>
      </c>
      <c r="M101" s="15" t="n">
        <f aca="false">IF(AND(ISNUMBER(H101),ISNUMBER(I101)),H101*I101,"")</f>
        <v>360</v>
      </c>
    </row>
    <row r="102" customFormat="false" ht="15" hidden="false" customHeight="false" outlineLevel="0" collapsed="false">
      <c r="A102" s="13" t="n">
        <v>1238</v>
      </c>
      <c r="B102" s="14" t="n">
        <v>46195</v>
      </c>
      <c r="C102" s="13" t="s">
        <v>250</v>
      </c>
      <c r="D102" s="13" t="s">
        <v>251</v>
      </c>
      <c r="E102" s="13" t="s">
        <v>26</v>
      </c>
      <c r="F102" s="13" t="s">
        <v>16</v>
      </c>
      <c r="G102" s="13" t="s">
        <v>101</v>
      </c>
      <c r="H102" s="13" t="n">
        <v>1</v>
      </c>
      <c r="I102" s="15"/>
      <c r="J102" s="13" t="s">
        <v>57</v>
      </c>
      <c r="K102" s="13" t="s">
        <v>58</v>
      </c>
      <c r="L102" s="13" t="s">
        <v>34</v>
      </c>
      <c r="M102" s="15" t="str">
        <f aca="false">IF(AND(ISNUMBER(H102),ISNUMBER(I102)),H102*I102,"")</f>
        <v/>
      </c>
    </row>
    <row r="103" customFormat="false" ht="15" hidden="false" customHeight="false" outlineLevel="0" collapsed="false">
      <c r="A103" s="13" t="n">
        <v>1345</v>
      </c>
      <c r="B103" s="14" t="n">
        <v>46239</v>
      </c>
      <c r="C103" s="13" t="s">
        <v>252</v>
      </c>
      <c r="D103" s="13" t="s">
        <v>253</v>
      </c>
      <c r="E103" s="13" t="s">
        <v>24</v>
      </c>
      <c r="F103" s="13" t="s">
        <v>49</v>
      </c>
      <c r="G103" s="13" t="s">
        <v>50</v>
      </c>
      <c r="H103" s="13" t="n">
        <v>1</v>
      </c>
      <c r="I103" s="15" t="n">
        <v>120</v>
      </c>
      <c r="J103" s="13" t="s">
        <v>64</v>
      </c>
      <c r="K103" s="13" t="s">
        <v>58</v>
      </c>
      <c r="L103" s="13" t="s">
        <v>36</v>
      </c>
      <c r="M103" s="15" t="n">
        <f aca="false">IF(AND(ISNUMBER(H103),ISNUMBER(I103)),H103*I103,"")</f>
        <v>120</v>
      </c>
    </row>
    <row r="104" customFormat="false" ht="15" hidden="false" customHeight="false" outlineLevel="0" collapsed="false">
      <c r="A104" s="13" t="n">
        <v>1075</v>
      </c>
      <c r="B104" s="14" t="n">
        <v>46239</v>
      </c>
      <c r="C104" s="13" t="s">
        <v>254</v>
      </c>
      <c r="D104" s="13" t="s">
        <v>255</v>
      </c>
      <c r="E104" s="13" t="s">
        <v>28</v>
      </c>
      <c r="F104" s="13" t="s">
        <v>96</v>
      </c>
      <c r="G104" s="13" t="s">
        <v>56</v>
      </c>
      <c r="H104" s="13" t="n">
        <v>2</v>
      </c>
      <c r="I104" s="15" t="n">
        <v>320</v>
      </c>
      <c r="J104" s="13" t="s">
        <v>57</v>
      </c>
      <c r="K104" s="13" t="s">
        <v>75</v>
      </c>
      <c r="L104" s="13" t="s">
        <v>36</v>
      </c>
      <c r="M104" s="15" t="n">
        <f aca="false">IF(AND(ISNUMBER(H104),ISNUMBER(I104)),H104*I104,"")</f>
        <v>640</v>
      </c>
    </row>
    <row r="105" customFormat="false" ht="15" hidden="false" customHeight="false" outlineLevel="0" collapsed="false">
      <c r="A105" s="13" t="n">
        <v>1385</v>
      </c>
      <c r="B105" s="14" t="n">
        <v>46246</v>
      </c>
      <c r="C105" s="13" t="s">
        <v>256</v>
      </c>
      <c r="D105" s="13" t="s">
        <v>257</v>
      </c>
      <c r="E105" s="13" t="s">
        <v>24</v>
      </c>
      <c r="F105" s="13" t="s">
        <v>20</v>
      </c>
      <c r="G105" s="13" t="s">
        <v>71</v>
      </c>
      <c r="H105" s="13" t="n">
        <v>2</v>
      </c>
      <c r="I105" s="15" t="n">
        <v>550</v>
      </c>
      <c r="J105" s="13" t="s">
        <v>64</v>
      </c>
      <c r="K105" s="13" t="s">
        <v>58</v>
      </c>
      <c r="L105" s="13" t="s">
        <v>36</v>
      </c>
      <c r="M105" s="15" t="n">
        <f aca="false">IF(AND(ISNUMBER(H105),ISNUMBER(I105)),H105*I105,"")</f>
        <v>1100</v>
      </c>
    </row>
    <row r="106" customFormat="false" ht="15" hidden="false" customHeight="false" outlineLevel="0" collapsed="false">
      <c r="A106" s="13" t="n">
        <v>1154</v>
      </c>
      <c r="B106" s="14" t="n">
        <v>46176</v>
      </c>
      <c r="C106" s="13" t="s">
        <v>178</v>
      </c>
      <c r="D106" s="13" t="s">
        <v>258</v>
      </c>
      <c r="E106" s="13"/>
      <c r="F106" s="13" t="s">
        <v>131</v>
      </c>
      <c r="G106" s="13" t="s">
        <v>56</v>
      </c>
      <c r="H106" s="13" t="n">
        <v>1</v>
      </c>
      <c r="I106" s="15" t="n">
        <v>180</v>
      </c>
      <c r="J106" s="13" t="s">
        <v>64</v>
      </c>
      <c r="K106" s="13" t="s">
        <v>58</v>
      </c>
      <c r="L106" s="13" t="s">
        <v>34</v>
      </c>
      <c r="M106" s="15" t="n">
        <f aca="false">IF(AND(ISNUMBER(H106),ISNUMBER(I106)),H106*I106,"")</f>
        <v>180</v>
      </c>
    </row>
    <row r="107" customFormat="false" ht="15" hidden="false" customHeight="false" outlineLevel="0" collapsed="false">
      <c r="A107" s="13" t="n">
        <v>1192</v>
      </c>
      <c r="B107" s="14" t="n">
        <v>46237</v>
      </c>
      <c r="C107" s="13" t="s">
        <v>259</v>
      </c>
      <c r="D107" s="13" t="s">
        <v>68</v>
      </c>
      <c r="E107" s="13" t="s">
        <v>30</v>
      </c>
      <c r="F107" s="13" t="s">
        <v>17</v>
      </c>
      <c r="G107" s="13" t="s">
        <v>86</v>
      </c>
      <c r="H107" s="13" t="n">
        <v>2</v>
      </c>
      <c r="I107" s="15" t="n">
        <v>900</v>
      </c>
      <c r="J107" s="13" t="s">
        <v>72</v>
      </c>
      <c r="K107" s="13" t="s">
        <v>58</v>
      </c>
      <c r="L107" s="13" t="s">
        <v>36</v>
      </c>
      <c r="M107" s="15" t="n">
        <f aca="false">IF(AND(ISNUMBER(H107),ISNUMBER(I107)),H107*I107,"")</f>
        <v>1800</v>
      </c>
    </row>
    <row r="108" customFormat="false" ht="15" hidden="false" customHeight="false" outlineLevel="0" collapsed="false">
      <c r="A108" s="13" t="n">
        <v>1300</v>
      </c>
      <c r="B108" s="14" t="n">
        <v>46226</v>
      </c>
      <c r="C108" s="13" t="s">
        <v>260</v>
      </c>
      <c r="D108" s="13" t="s">
        <v>261</v>
      </c>
      <c r="E108" s="13" t="s">
        <v>25</v>
      </c>
      <c r="F108" s="13" t="s">
        <v>20</v>
      </c>
      <c r="G108" s="13" t="s">
        <v>71</v>
      </c>
      <c r="H108" s="13" t="n">
        <v>1</v>
      </c>
      <c r="I108" s="15" t="n">
        <v>550</v>
      </c>
      <c r="J108" s="13" t="s">
        <v>57</v>
      </c>
      <c r="K108" s="13" t="s">
        <v>52</v>
      </c>
      <c r="L108" s="13" t="s">
        <v>35</v>
      </c>
      <c r="M108" s="15" t="n">
        <f aca="false">IF(AND(ISNUMBER(H108),ISNUMBER(I108)),H108*I108,"")</f>
        <v>550</v>
      </c>
    </row>
    <row r="109" customFormat="false" ht="15" hidden="false" customHeight="false" outlineLevel="0" collapsed="false">
      <c r="A109" s="13" t="n">
        <v>1261</v>
      </c>
      <c r="B109" s="14" t="n">
        <v>46229</v>
      </c>
      <c r="C109" s="13" t="s">
        <v>65</v>
      </c>
      <c r="D109" s="13" t="s">
        <v>262</v>
      </c>
      <c r="E109" s="13" t="s">
        <v>24</v>
      </c>
      <c r="F109" s="13" t="s">
        <v>49</v>
      </c>
      <c r="G109" s="13" t="s">
        <v>50</v>
      </c>
      <c r="H109" s="13" t="n">
        <v>1</v>
      </c>
      <c r="I109" s="15" t="n">
        <v>120</v>
      </c>
      <c r="J109" s="13" t="s">
        <v>64</v>
      </c>
      <c r="K109" s="13" t="s">
        <v>80</v>
      </c>
      <c r="L109" s="13" t="s">
        <v>35</v>
      </c>
      <c r="M109" s="15" t="n">
        <f aca="false">IF(AND(ISNUMBER(H109),ISNUMBER(I109)),H109*I109,"")</f>
        <v>120</v>
      </c>
    </row>
    <row r="110" customFormat="false" ht="15" hidden="false" customHeight="false" outlineLevel="0" collapsed="false">
      <c r="A110" s="13" t="n">
        <v>1390</v>
      </c>
      <c r="B110" s="14" t="n">
        <v>46220</v>
      </c>
      <c r="C110" s="13" t="s">
        <v>263</v>
      </c>
      <c r="D110" s="13" t="s">
        <v>264</v>
      </c>
      <c r="E110" s="13" t="s">
        <v>25</v>
      </c>
      <c r="F110" s="13" t="s">
        <v>20</v>
      </c>
      <c r="G110" s="13" t="s">
        <v>71</v>
      </c>
      <c r="H110" s="13" t="n">
        <v>1</v>
      </c>
      <c r="I110" s="15" t="n">
        <v>550</v>
      </c>
      <c r="J110" s="13" t="s">
        <v>51</v>
      </c>
      <c r="K110" s="13" t="s">
        <v>58</v>
      </c>
      <c r="L110" s="13" t="s">
        <v>35</v>
      </c>
      <c r="M110" s="15" t="n">
        <f aca="false">IF(AND(ISNUMBER(H110),ISNUMBER(I110)),H110*I110,"")</f>
        <v>550</v>
      </c>
    </row>
    <row r="111" customFormat="false" ht="15" hidden="false" customHeight="false" outlineLevel="0" collapsed="false">
      <c r="A111" s="13" t="n">
        <v>1382</v>
      </c>
      <c r="B111" s="14" t="n">
        <v>46248</v>
      </c>
      <c r="C111" s="13" t="s">
        <v>265</v>
      </c>
      <c r="D111" s="13" t="s">
        <v>266</v>
      </c>
      <c r="E111" s="13" t="s">
        <v>25</v>
      </c>
      <c r="F111" s="13" t="s">
        <v>16</v>
      </c>
      <c r="G111" s="13" t="s">
        <v>101</v>
      </c>
      <c r="H111" s="13" t="n">
        <v>1</v>
      </c>
      <c r="I111" s="15" t="n">
        <v>1100</v>
      </c>
      <c r="J111" s="13" t="s">
        <v>51</v>
      </c>
      <c r="K111" s="13" t="s">
        <v>52</v>
      </c>
      <c r="L111" s="13" t="s">
        <v>36</v>
      </c>
      <c r="M111" s="15" t="n">
        <f aca="false">IF(AND(ISNUMBER(H111),ISNUMBER(I111)),H111*I111,"")</f>
        <v>1100</v>
      </c>
    </row>
    <row r="112" customFormat="false" ht="15" hidden="false" customHeight="false" outlineLevel="0" collapsed="false">
      <c r="A112" s="13" t="n">
        <v>1141</v>
      </c>
      <c r="B112" s="14" t="n">
        <v>46234</v>
      </c>
      <c r="C112" s="13" t="s">
        <v>267</v>
      </c>
      <c r="D112" s="13" t="s">
        <v>268</v>
      </c>
      <c r="E112" s="13" t="s">
        <v>27</v>
      </c>
      <c r="F112" s="13" t="s">
        <v>49</v>
      </c>
      <c r="G112" s="13" t="s">
        <v>50</v>
      </c>
      <c r="H112" s="13" t="n">
        <v>3</v>
      </c>
      <c r="I112" s="15"/>
      <c r="J112" s="13" t="s">
        <v>64</v>
      </c>
      <c r="K112" s="13" t="s">
        <v>58</v>
      </c>
      <c r="L112" s="13" t="s">
        <v>35</v>
      </c>
      <c r="M112" s="15" t="str">
        <f aca="false">IF(AND(ISNUMBER(H112),ISNUMBER(I112)),H112*I112,"")</f>
        <v/>
      </c>
    </row>
    <row r="113" customFormat="false" ht="15" hidden="false" customHeight="false" outlineLevel="0" collapsed="false">
      <c r="A113" s="13" t="n">
        <v>1248</v>
      </c>
      <c r="B113" s="14" t="n">
        <v>46223</v>
      </c>
      <c r="C113" s="13" t="s">
        <v>269</v>
      </c>
      <c r="D113" s="13" t="s">
        <v>270</v>
      </c>
      <c r="E113" s="13" t="s">
        <v>27</v>
      </c>
      <c r="F113" s="13" t="s">
        <v>19</v>
      </c>
      <c r="G113" s="13" t="s">
        <v>86</v>
      </c>
      <c r="H113" s="13" t="n">
        <v>2</v>
      </c>
      <c r="I113" s="15" t="n">
        <v>750</v>
      </c>
      <c r="J113" s="13" t="s">
        <v>57</v>
      </c>
      <c r="K113" s="13" t="s">
        <v>80</v>
      </c>
      <c r="L113" s="13" t="s">
        <v>35</v>
      </c>
      <c r="M113" s="15" t="n">
        <f aca="false">IF(AND(ISNUMBER(H113),ISNUMBER(I113)),H113*I113,"")</f>
        <v>1500</v>
      </c>
    </row>
    <row r="114" customFormat="false" ht="15" hidden="false" customHeight="false" outlineLevel="0" collapsed="false">
      <c r="A114" s="13" t="n">
        <v>1084</v>
      </c>
      <c r="B114" s="14" t="n">
        <v>46216</v>
      </c>
      <c r="C114" s="13" t="s">
        <v>269</v>
      </c>
      <c r="D114" s="13" t="s">
        <v>271</v>
      </c>
      <c r="E114" s="13" t="s">
        <v>28</v>
      </c>
      <c r="F114" s="13" t="s">
        <v>131</v>
      </c>
      <c r="G114" s="13" t="s">
        <v>56</v>
      </c>
      <c r="H114" s="13" t="n">
        <v>2</v>
      </c>
      <c r="I114" s="15" t="n">
        <v>180</v>
      </c>
      <c r="J114" s="13" t="s">
        <v>57</v>
      </c>
      <c r="K114" s="13" t="s">
        <v>80</v>
      </c>
      <c r="L114" s="13" t="s">
        <v>35</v>
      </c>
      <c r="M114" s="15" t="n">
        <f aca="false">IF(AND(ISNUMBER(H114),ISNUMBER(I114)),H114*I114,"")</f>
        <v>360</v>
      </c>
    </row>
    <row r="115" customFormat="false" ht="15" hidden="false" customHeight="false" outlineLevel="0" collapsed="false">
      <c r="A115" s="13" t="n">
        <v>1080</v>
      </c>
      <c r="B115" s="14" t="n">
        <v>46234</v>
      </c>
      <c r="C115" s="13" t="s">
        <v>272</v>
      </c>
      <c r="D115" s="13" t="s">
        <v>273</v>
      </c>
      <c r="E115" s="13" t="s">
        <v>27</v>
      </c>
      <c r="F115" s="13" t="s">
        <v>18</v>
      </c>
      <c r="G115" s="13" t="s">
        <v>63</v>
      </c>
      <c r="H115" s="13" t="n">
        <v>2</v>
      </c>
      <c r="I115" s="15" t="n">
        <v>950</v>
      </c>
      <c r="J115" s="13" t="s">
        <v>51</v>
      </c>
      <c r="K115" s="13" t="s">
        <v>75</v>
      </c>
      <c r="L115" s="13" t="s">
        <v>35</v>
      </c>
      <c r="M115" s="15" t="n">
        <f aca="false">IF(AND(ISNUMBER(H115),ISNUMBER(I115)),H115*I115,"")</f>
        <v>1900</v>
      </c>
    </row>
    <row r="116" customFormat="false" ht="15" hidden="false" customHeight="false" outlineLevel="0" collapsed="false">
      <c r="A116" s="13" t="n">
        <v>1138</v>
      </c>
      <c r="B116" s="14" t="n">
        <v>46244</v>
      </c>
      <c r="C116" s="13" t="s">
        <v>274</v>
      </c>
      <c r="D116" s="13" t="s">
        <v>275</v>
      </c>
      <c r="E116" s="13" t="s">
        <v>26</v>
      </c>
      <c r="F116" s="13" t="s">
        <v>96</v>
      </c>
      <c r="G116" s="13" t="s">
        <v>56</v>
      </c>
      <c r="H116" s="13" t="n">
        <v>2</v>
      </c>
      <c r="I116" s="15" t="n">
        <v>320</v>
      </c>
      <c r="J116" s="13" t="s">
        <v>51</v>
      </c>
      <c r="K116" s="13" t="s">
        <v>58</v>
      </c>
      <c r="L116" s="13" t="s">
        <v>36</v>
      </c>
      <c r="M116" s="15" t="n">
        <f aca="false">IF(AND(ISNUMBER(H116),ISNUMBER(I116)),H116*I116,"")</f>
        <v>640</v>
      </c>
    </row>
    <row r="117" customFormat="false" ht="15" hidden="false" customHeight="false" outlineLevel="0" collapsed="false">
      <c r="A117" s="13" t="n">
        <v>1347</v>
      </c>
      <c r="B117" s="14" t="n">
        <v>46211</v>
      </c>
      <c r="C117" s="13" t="s">
        <v>132</v>
      </c>
      <c r="D117" s="13" t="s">
        <v>276</v>
      </c>
      <c r="E117" s="13" t="s">
        <v>24</v>
      </c>
      <c r="F117" s="13" t="s">
        <v>17</v>
      </c>
      <c r="G117" s="13" t="s">
        <v>86</v>
      </c>
      <c r="H117" s="13" t="n">
        <v>3</v>
      </c>
      <c r="I117" s="15" t="n">
        <v>900</v>
      </c>
      <c r="J117" s="13" t="s">
        <v>51</v>
      </c>
      <c r="K117" s="13" t="s">
        <v>58</v>
      </c>
      <c r="L117" s="13" t="s">
        <v>35</v>
      </c>
      <c r="M117" s="15" t="n">
        <f aca="false">IF(AND(ISNUMBER(H117),ISNUMBER(I117)),H117*I117,"")</f>
        <v>2700</v>
      </c>
    </row>
    <row r="118" customFormat="false" ht="15" hidden="false" customHeight="false" outlineLevel="0" collapsed="false">
      <c r="A118" s="13" t="n">
        <v>1290</v>
      </c>
      <c r="B118" s="14" t="n">
        <v>46229</v>
      </c>
      <c r="C118" s="13" t="s">
        <v>277</v>
      </c>
      <c r="D118" s="13" t="s">
        <v>68</v>
      </c>
      <c r="E118" s="13" t="s">
        <v>24</v>
      </c>
      <c r="F118" s="13" t="s">
        <v>18</v>
      </c>
      <c r="G118" s="13" t="s">
        <v>63</v>
      </c>
      <c r="H118" s="13" t="n">
        <v>2</v>
      </c>
      <c r="I118" s="15" t="n">
        <v>950</v>
      </c>
      <c r="J118" s="13" t="s">
        <v>51</v>
      </c>
      <c r="K118" s="13" t="s">
        <v>52</v>
      </c>
      <c r="L118" s="13" t="s">
        <v>35</v>
      </c>
      <c r="M118" s="15" t="n">
        <f aca="false">IF(AND(ISNUMBER(H118),ISNUMBER(I118)),H118*I118,"")</f>
        <v>1900</v>
      </c>
    </row>
    <row r="119" customFormat="false" ht="15" hidden="false" customHeight="false" outlineLevel="0" collapsed="false">
      <c r="A119" s="13" t="n">
        <v>1132</v>
      </c>
      <c r="B119" s="14" t="n">
        <v>46250</v>
      </c>
      <c r="C119" s="13" t="s">
        <v>278</v>
      </c>
      <c r="D119" s="13" t="s">
        <v>279</v>
      </c>
      <c r="E119" s="13" t="s">
        <v>26</v>
      </c>
      <c r="F119" s="13" t="s">
        <v>96</v>
      </c>
      <c r="G119" s="13" t="s">
        <v>56</v>
      </c>
      <c r="H119" s="13" t="n">
        <v>1</v>
      </c>
      <c r="I119" s="15" t="n">
        <v>320</v>
      </c>
      <c r="J119" s="13" t="s">
        <v>64</v>
      </c>
      <c r="K119" s="13" t="s">
        <v>80</v>
      </c>
      <c r="L119" s="13" t="s">
        <v>36</v>
      </c>
      <c r="M119" s="15" t="n">
        <f aca="false">IF(AND(ISNUMBER(H119),ISNUMBER(I119)),H119*I119,"")</f>
        <v>320</v>
      </c>
    </row>
    <row r="120" customFormat="false" ht="15" hidden="false" customHeight="false" outlineLevel="0" collapsed="false">
      <c r="A120" s="13" t="n">
        <v>1239</v>
      </c>
      <c r="B120" s="14" t="n">
        <v>46249</v>
      </c>
      <c r="C120" s="13" t="s">
        <v>280</v>
      </c>
      <c r="D120" s="13" t="s">
        <v>281</v>
      </c>
      <c r="E120" s="13" t="s">
        <v>26</v>
      </c>
      <c r="F120" s="13" t="s">
        <v>20</v>
      </c>
      <c r="G120" s="13" t="s">
        <v>71</v>
      </c>
      <c r="H120" s="13" t="n">
        <v>2</v>
      </c>
      <c r="I120" s="15" t="n">
        <v>550</v>
      </c>
      <c r="J120" s="13" t="s">
        <v>57</v>
      </c>
      <c r="K120" s="13" t="s">
        <v>75</v>
      </c>
      <c r="L120" s="13" t="s">
        <v>36</v>
      </c>
      <c r="M120" s="15" t="n">
        <f aca="false">IF(AND(ISNUMBER(H120),ISNUMBER(I120)),H120*I120,"")</f>
        <v>1100</v>
      </c>
    </row>
    <row r="121" customFormat="false" ht="15" hidden="false" customHeight="false" outlineLevel="0" collapsed="false">
      <c r="A121" s="13" t="n">
        <v>1131</v>
      </c>
      <c r="B121" s="14" t="n">
        <v>46244</v>
      </c>
      <c r="C121" s="13" t="s">
        <v>282</v>
      </c>
      <c r="D121" s="13" t="s">
        <v>283</v>
      </c>
      <c r="E121" s="13" t="s">
        <v>25</v>
      </c>
      <c r="F121" s="13" t="s">
        <v>91</v>
      </c>
      <c r="G121" s="13" t="s">
        <v>71</v>
      </c>
      <c r="H121" s="13" t="n">
        <v>1</v>
      </c>
      <c r="I121" s="15" t="n">
        <v>300</v>
      </c>
      <c r="J121" s="13" t="s">
        <v>57</v>
      </c>
      <c r="K121" s="13" t="s">
        <v>58</v>
      </c>
      <c r="L121" s="13" t="s">
        <v>36</v>
      </c>
      <c r="M121" s="15" t="n">
        <f aca="false">IF(AND(ISNUMBER(H121),ISNUMBER(I121)),H121*I121,"")</f>
        <v>300</v>
      </c>
    </row>
    <row r="122" customFormat="false" ht="15" hidden="false" customHeight="false" outlineLevel="0" collapsed="false">
      <c r="A122" s="13" t="n">
        <v>1268</v>
      </c>
      <c r="B122" s="14" t="n">
        <v>46176</v>
      </c>
      <c r="C122" s="13" t="s">
        <v>163</v>
      </c>
      <c r="D122" s="13" t="s">
        <v>284</v>
      </c>
      <c r="E122" s="13" t="s">
        <v>27</v>
      </c>
      <c r="F122" s="13" t="s">
        <v>91</v>
      </c>
      <c r="G122" s="13" t="s">
        <v>71</v>
      </c>
      <c r="H122" s="13" t="n">
        <v>1</v>
      </c>
      <c r="I122" s="15" t="n">
        <v>300</v>
      </c>
      <c r="J122" s="13" t="s">
        <v>72</v>
      </c>
      <c r="K122" s="13" t="s">
        <v>58</v>
      </c>
      <c r="L122" s="13" t="s">
        <v>34</v>
      </c>
      <c r="M122" s="15" t="n">
        <f aca="false">IF(AND(ISNUMBER(H122),ISNUMBER(I122)),H122*I122,"")</f>
        <v>300</v>
      </c>
    </row>
    <row r="123" customFormat="false" ht="15" hidden="false" customHeight="false" outlineLevel="0" collapsed="false">
      <c r="A123" s="13" t="n">
        <v>1315</v>
      </c>
      <c r="B123" s="14" t="n">
        <v>46245</v>
      </c>
      <c r="C123" s="13" t="s">
        <v>285</v>
      </c>
      <c r="D123" s="13" t="s">
        <v>68</v>
      </c>
      <c r="E123" s="13" t="s">
        <v>26</v>
      </c>
      <c r="F123" s="13" t="s">
        <v>91</v>
      </c>
      <c r="G123" s="13" t="s">
        <v>71</v>
      </c>
      <c r="H123" s="13" t="n">
        <v>1</v>
      </c>
      <c r="I123" s="15" t="n">
        <v>300</v>
      </c>
      <c r="J123" s="13" t="s">
        <v>72</v>
      </c>
      <c r="K123" s="13" t="s">
        <v>58</v>
      </c>
      <c r="L123" s="13" t="s">
        <v>36</v>
      </c>
      <c r="M123" s="15" t="n">
        <f aca="false">IF(AND(ISNUMBER(H123),ISNUMBER(I123)),H123*I123,"")</f>
        <v>300</v>
      </c>
    </row>
    <row r="124" customFormat="false" ht="15" hidden="false" customHeight="false" outlineLevel="0" collapsed="false">
      <c r="A124" s="13" t="n">
        <v>1229</v>
      </c>
      <c r="B124" s="14" t="n">
        <v>46234</v>
      </c>
      <c r="C124" s="13" t="s">
        <v>138</v>
      </c>
      <c r="D124" s="13" t="s">
        <v>286</v>
      </c>
      <c r="E124" s="13" t="s">
        <v>29</v>
      </c>
      <c r="F124" s="13" t="s">
        <v>18</v>
      </c>
      <c r="G124" s="13" t="s">
        <v>63</v>
      </c>
      <c r="H124" s="13" t="n">
        <v>1</v>
      </c>
      <c r="I124" s="15" t="n">
        <v>950</v>
      </c>
      <c r="J124" s="13" t="s">
        <v>51</v>
      </c>
      <c r="K124" s="13" t="s">
        <v>58</v>
      </c>
      <c r="L124" s="13" t="s">
        <v>35</v>
      </c>
      <c r="M124" s="15" t="n">
        <f aca="false">IF(AND(ISNUMBER(H124),ISNUMBER(I124)),H124*I124,"")</f>
        <v>950</v>
      </c>
    </row>
    <row r="125" customFormat="false" ht="15" hidden="false" customHeight="false" outlineLevel="0" collapsed="false">
      <c r="A125" s="13" t="n">
        <v>1036</v>
      </c>
      <c r="B125" s="14" t="n">
        <v>46265</v>
      </c>
      <c r="C125" s="13" t="s">
        <v>287</v>
      </c>
      <c r="D125" s="13" t="s">
        <v>288</v>
      </c>
      <c r="E125" s="13" t="s">
        <v>28</v>
      </c>
      <c r="F125" s="13" t="s">
        <v>55</v>
      </c>
      <c r="G125" s="13" t="s">
        <v>56</v>
      </c>
      <c r="H125" s="13" t="n">
        <v>1</v>
      </c>
      <c r="I125" s="15" t="n">
        <v>450</v>
      </c>
      <c r="J125" s="13" t="s">
        <v>57</v>
      </c>
      <c r="K125" s="13" t="s">
        <v>58</v>
      </c>
      <c r="L125" s="13" t="s">
        <v>36</v>
      </c>
      <c r="M125" s="15" t="n">
        <f aca="false">IF(AND(ISNUMBER(H125),ISNUMBER(I125)),H125*I125,"")</f>
        <v>450</v>
      </c>
    </row>
    <row r="126" customFormat="false" ht="15" hidden="false" customHeight="false" outlineLevel="0" collapsed="false">
      <c r="A126" s="13" t="n">
        <v>1334</v>
      </c>
      <c r="B126" s="14" t="n">
        <v>46252</v>
      </c>
      <c r="C126" s="13" t="s">
        <v>289</v>
      </c>
      <c r="D126" s="13" t="s">
        <v>290</v>
      </c>
      <c r="E126" s="13" t="s">
        <v>27</v>
      </c>
      <c r="F126" s="13" t="s">
        <v>17</v>
      </c>
      <c r="G126" s="13" t="s">
        <v>86</v>
      </c>
      <c r="H126" s="13" t="n">
        <v>1</v>
      </c>
      <c r="I126" s="15" t="n">
        <v>900</v>
      </c>
      <c r="J126" s="13" t="s">
        <v>51</v>
      </c>
      <c r="K126" s="13" t="s">
        <v>75</v>
      </c>
      <c r="L126" s="13" t="s">
        <v>36</v>
      </c>
      <c r="M126" s="15" t="n">
        <f aca="false">IF(AND(ISNUMBER(H126),ISNUMBER(I126)),H126*I126,"")</f>
        <v>900</v>
      </c>
    </row>
    <row r="127" customFormat="false" ht="15" hidden="false" customHeight="false" outlineLevel="0" collapsed="false">
      <c r="A127" s="13" t="n">
        <v>1438</v>
      </c>
      <c r="B127" s="14" t="n">
        <v>46252</v>
      </c>
      <c r="C127" s="13" t="s">
        <v>127</v>
      </c>
      <c r="D127" s="13" t="s">
        <v>291</v>
      </c>
      <c r="E127" s="13" t="s">
        <v>30</v>
      </c>
      <c r="F127" s="13" t="s">
        <v>91</v>
      </c>
      <c r="G127" s="13" t="s">
        <v>71</v>
      </c>
      <c r="H127" s="13" t="n">
        <v>1</v>
      </c>
      <c r="I127" s="15" t="n">
        <v>300</v>
      </c>
      <c r="J127" s="13" t="s">
        <v>72</v>
      </c>
      <c r="K127" s="13" t="s">
        <v>52</v>
      </c>
      <c r="L127" s="13" t="s">
        <v>36</v>
      </c>
      <c r="M127" s="15" t="n">
        <f aca="false">IF(AND(ISNUMBER(H127),ISNUMBER(I127)),H127*I127,"")</f>
        <v>300</v>
      </c>
    </row>
    <row r="128" customFormat="false" ht="15" hidden="false" customHeight="false" outlineLevel="0" collapsed="false">
      <c r="A128" s="13" t="n">
        <v>1182</v>
      </c>
      <c r="B128" s="14" t="n">
        <v>46210</v>
      </c>
      <c r="C128" s="13" t="s">
        <v>173</v>
      </c>
      <c r="D128" s="13" t="s">
        <v>292</v>
      </c>
      <c r="E128" s="13" t="s">
        <v>30</v>
      </c>
      <c r="F128" s="13" t="s">
        <v>131</v>
      </c>
      <c r="G128" s="13" t="s">
        <v>56</v>
      </c>
      <c r="H128" s="13" t="n">
        <v>2</v>
      </c>
      <c r="I128" s="15" t="n">
        <v>180</v>
      </c>
      <c r="J128" s="13" t="s">
        <v>51</v>
      </c>
      <c r="K128" s="13" t="s">
        <v>58</v>
      </c>
      <c r="L128" s="13" t="s">
        <v>35</v>
      </c>
      <c r="M128" s="15" t="n">
        <f aca="false">IF(AND(ISNUMBER(H128),ISNUMBER(I128)),H128*I128,"")</f>
        <v>360</v>
      </c>
    </row>
    <row r="129" customFormat="false" ht="15" hidden="false" customHeight="false" outlineLevel="0" collapsed="false">
      <c r="A129" s="13" t="n">
        <v>1047</v>
      </c>
      <c r="B129" s="14" t="n">
        <v>46192</v>
      </c>
      <c r="C129" s="13" t="s">
        <v>293</v>
      </c>
      <c r="D129" s="13" t="s">
        <v>294</v>
      </c>
      <c r="E129" s="13" t="s">
        <v>24</v>
      </c>
      <c r="F129" s="13" t="s">
        <v>20</v>
      </c>
      <c r="G129" s="13" t="s">
        <v>71</v>
      </c>
      <c r="H129" s="13" t="n">
        <v>1</v>
      </c>
      <c r="I129" s="15" t="n">
        <v>550</v>
      </c>
      <c r="J129" s="13" t="s">
        <v>57</v>
      </c>
      <c r="K129" s="13" t="s">
        <v>58</v>
      </c>
      <c r="L129" s="13" t="s">
        <v>34</v>
      </c>
      <c r="M129" s="15" t="n">
        <f aca="false">IF(AND(ISNUMBER(H129),ISNUMBER(I129)),H129*I129,"")</f>
        <v>550</v>
      </c>
    </row>
    <row r="130" customFormat="false" ht="15" hidden="false" customHeight="false" outlineLevel="0" collapsed="false">
      <c r="A130" s="13" t="n">
        <v>1143</v>
      </c>
      <c r="B130" s="14" t="n">
        <v>46210</v>
      </c>
      <c r="C130" s="13" t="s">
        <v>295</v>
      </c>
      <c r="D130" s="13" t="s">
        <v>296</v>
      </c>
      <c r="E130" s="13" t="s">
        <v>30</v>
      </c>
      <c r="F130" s="13" t="s">
        <v>55</v>
      </c>
      <c r="G130" s="13" t="s">
        <v>56</v>
      </c>
      <c r="H130" s="13" t="n">
        <v>1</v>
      </c>
      <c r="I130" s="15" t="n">
        <v>450</v>
      </c>
      <c r="J130" s="13" t="s">
        <v>57</v>
      </c>
      <c r="K130" s="13" t="s">
        <v>58</v>
      </c>
      <c r="L130" s="13" t="s">
        <v>35</v>
      </c>
      <c r="M130" s="15" t="n">
        <f aca="false">IF(AND(ISNUMBER(H130),ISNUMBER(I130)),H130*I130,"")</f>
        <v>450</v>
      </c>
    </row>
    <row r="131" customFormat="false" ht="15" hidden="false" customHeight="false" outlineLevel="0" collapsed="false">
      <c r="A131" s="13" t="n">
        <v>1379</v>
      </c>
      <c r="B131" s="14" t="n">
        <v>46247</v>
      </c>
      <c r="C131" s="13" t="s">
        <v>297</v>
      </c>
      <c r="D131" s="13" t="s">
        <v>298</v>
      </c>
      <c r="E131" s="13" t="s">
        <v>27</v>
      </c>
      <c r="F131" s="13" t="s">
        <v>17</v>
      </c>
      <c r="G131" s="13" t="s">
        <v>86</v>
      </c>
      <c r="H131" s="13" t="n">
        <v>2</v>
      </c>
      <c r="I131" s="15" t="n">
        <v>900</v>
      </c>
      <c r="J131" s="13" t="s">
        <v>57</v>
      </c>
      <c r="K131" s="13" t="s">
        <v>75</v>
      </c>
      <c r="L131" s="13" t="s">
        <v>36</v>
      </c>
      <c r="M131" s="15" t="n">
        <f aca="false">IF(AND(ISNUMBER(H131),ISNUMBER(I131)),H131*I131,"")</f>
        <v>1800</v>
      </c>
    </row>
    <row r="132" customFormat="false" ht="15" hidden="false" customHeight="false" outlineLevel="0" collapsed="false">
      <c r="A132" s="13" t="n">
        <v>1400</v>
      </c>
      <c r="B132" s="14" t="n">
        <v>46174</v>
      </c>
      <c r="C132" s="13" t="s">
        <v>125</v>
      </c>
      <c r="D132" s="13" t="s">
        <v>299</v>
      </c>
      <c r="E132" s="13" t="s">
        <v>26</v>
      </c>
      <c r="F132" s="13" t="s">
        <v>91</v>
      </c>
      <c r="G132" s="13" t="s">
        <v>71</v>
      </c>
      <c r="H132" s="13" t="n">
        <v>1</v>
      </c>
      <c r="I132" s="15" t="n">
        <v>300</v>
      </c>
      <c r="J132" s="13" t="s">
        <v>64</v>
      </c>
      <c r="K132" s="13" t="s">
        <v>58</v>
      </c>
      <c r="L132" s="13" t="s">
        <v>34</v>
      </c>
      <c r="M132" s="15" t="n">
        <f aca="false">IF(AND(ISNUMBER(H132),ISNUMBER(I132)),H132*I132,"")</f>
        <v>300</v>
      </c>
    </row>
    <row r="133" customFormat="false" ht="15" hidden="false" customHeight="false" outlineLevel="0" collapsed="false">
      <c r="A133" s="13" t="n">
        <v>1021</v>
      </c>
      <c r="B133" s="14" t="n">
        <v>46204</v>
      </c>
      <c r="C133" s="13" t="s">
        <v>300</v>
      </c>
      <c r="D133" s="13" t="s">
        <v>301</v>
      </c>
      <c r="E133" s="13" t="s">
        <v>27</v>
      </c>
      <c r="F133" s="13" t="s">
        <v>18</v>
      </c>
      <c r="G133" s="13" t="s">
        <v>63</v>
      </c>
      <c r="H133" s="13" t="n">
        <v>1</v>
      </c>
      <c r="I133" s="15" t="n">
        <v>950</v>
      </c>
      <c r="J133" s="13" t="s">
        <v>57</v>
      </c>
      <c r="K133" s="13" t="s">
        <v>75</v>
      </c>
      <c r="L133" s="13" t="s">
        <v>35</v>
      </c>
      <c r="M133" s="15" t="n">
        <f aca="false">IF(AND(ISNUMBER(H133),ISNUMBER(I133)),H133*I133,"")</f>
        <v>950</v>
      </c>
    </row>
    <row r="134" customFormat="false" ht="15" hidden="false" customHeight="false" outlineLevel="0" collapsed="false">
      <c r="A134" s="13" t="n">
        <v>1191</v>
      </c>
      <c r="B134" s="14" t="n">
        <v>46261</v>
      </c>
      <c r="C134" s="13" t="s">
        <v>163</v>
      </c>
      <c r="D134" s="13" t="s">
        <v>302</v>
      </c>
      <c r="E134" s="13" t="s">
        <v>28</v>
      </c>
      <c r="F134" s="13" t="s">
        <v>96</v>
      </c>
      <c r="G134" s="13" t="s">
        <v>56</v>
      </c>
      <c r="H134" s="13" t="n">
        <v>3</v>
      </c>
      <c r="I134" s="15" t="n">
        <v>320</v>
      </c>
      <c r="J134" s="13" t="s">
        <v>64</v>
      </c>
      <c r="K134" s="13" t="s">
        <v>52</v>
      </c>
      <c r="L134" s="13" t="s">
        <v>36</v>
      </c>
      <c r="M134" s="15" t="n">
        <f aca="false">IF(AND(ISNUMBER(H134),ISNUMBER(I134)),H134*I134,"")</f>
        <v>960</v>
      </c>
    </row>
    <row r="135" customFormat="false" ht="15" hidden="false" customHeight="false" outlineLevel="0" collapsed="false">
      <c r="A135" s="13" t="n">
        <v>1259</v>
      </c>
      <c r="B135" s="14" t="n">
        <v>46243</v>
      </c>
      <c r="C135" s="13" t="s">
        <v>303</v>
      </c>
      <c r="D135" s="13" t="s">
        <v>304</v>
      </c>
      <c r="E135" s="13"/>
      <c r="F135" s="13" t="s">
        <v>49</v>
      </c>
      <c r="G135" s="13" t="s">
        <v>50</v>
      </c>
      <c r="H135" s="13" t="n">
        <v>1</v>
      </c>
      <c r="I135" s="15" t="n">
        <v>120</v>
      </c>
      <c r="J135" s="13" t="s">
        <v>64</v>
      </c>
      <c r="K135" s="13" t="s">
        <v>58</v>
      </c>
      <c r="L135" s="13" t="s">
        <v>36</v>
      </c>
      <c r="M135" s="15" t="n">
        <f aca="false">IF(AND(ISNUMBER(H135),ISNUMBER(I135)),H135*I135,"")</f>
        <v>120</v>
      </c>
    </row>
    <row r="136" customFormat="false" ht="15" hidden="false" customHeight="false" outlineLevel="0" collapsed="false">
      <c r="A136" s="13" t="n">
        <v>1331</v>
      </c>
      <c r="B136" s="14" t="n">
        <v>46250</v>
      </c>
      <c r="C136" s="13" t="s">
        <v>305</v>
      </c>
      <c r="D136" s="13" t="s">
        <v>306</v>
      </c>
      <c r="E136" s="13" t="s">
        <v>30</v>
      </c>
      <c r="F136" s="13" t="s">
        <v>131</v>
      </c>
      <c r="G136" s="13" t="s">
        <v>56</v>
      </c>
      <c r="H136" s="13" t="n">
        <v>1</v>
      </c>
      <c r="I136" s="15" t="n">
        <v>180</v>
      </c>
      <c r="J136" s="13" t="s">
        <v>64</v>
      </c>
      <c r="K136" s="13" t="s">
        <v>52</v>
      </c>
      <c r="L136" s="13" t="s">
        <v>36</v>
      </c>
      <c r="M136" s="15" t="n">
        <f aca="false">IF(AND(ISNUMBER(H136),ISNUMBER(I136)),H136*I136,"")</f>
        <v>180</v>
      </c>
    </row>
    <row r="137" customFormat="false" ht="15" hidden="false" customHeight="false" outlineLevel="0" collapsed="false">
      <c r="A137" s="13" t="n">
        <v>1123</v>
      </c>
      <c r="B137" s="14" t="n">
        <v>46208</v>
      </c>
      <c r="C137" s="13" t="s">
        <v>307</v>
      </c>
      <c r="D137" s="13" t="s">
        <v>308</v>
      </c>
      <c r="E137" s="13" t="s">
        <v>24</v>
      </c>
      <c r="F137" s="13" t="s">
        <v>17</v>
      </c>
      <c r="G137" s="13" t="s">
        <v>86</v>
      </c>
      <c r="H137" s="13" t="n">
        <v>2</v>
      </c>
      <c r="I137" s="15" t="n">
        <v>900</v>
      </c>
      <c r="J137" s="13" t="s">
        <v>64</v>
      </c>
      <c r="K137" s="13" t="s">
        <v>58</v>
      </c>
      <c r="L137" s="13" t="s">
        <v>35</v>
      </c>
      <c r="M137" s="15" t="n">
        <f aca="false">IF(AND(ISNUMBER(H137),ISNUMBER(I137)),H137*I137,"")</f>
        <v>1800</v>
      </c>
    </row>
    <row r="138" customFormat="false" ht="15" hidden="false" customHeight="false" outlineLevel="0" collapsed="false">
      <c r="A138" s="13" t="n">
        <v>1092</v>
      </c>
      <c r="B138" s="14" t="n">
        <v>46228</v>
      </c>
      <c r="C138" s="13" t="s">
        <v>194</v>
      </c>
      <c r="D138" s="13" t="s">
        <v>309</v>
      </c>
      <c r="E138" s="13" t="s">
        <v>25</v>
      </c>
      <c r="F138" s="13" t="s">
        <v>96</v>
      </c>
      <c r="G138" s="13" t="s">
        <v>56</v>
      </c>
      <c r="H138" s="13" t="n">
        <v>2</v>
      </c>
      <c r="I138" s="15" t="n">
        <v>320</v>
      </c>
      <c r="J138" s="13" t="s">
        <v>51</v>
      </c>
      <c r="K138" s="13" t="s">
        <v>58</v>
      </c>
      <c r="L138" s="13" t="s">
        <v>35</v>
      </c>
      <c r="M138" s="15" t="n">
        <f aca="false">IF(AND(ISNUMBER(H138),ISNUMBER(I138)),H138*I138,"")</f>
        <v>640</v>
      </c>
    </row>
    <row r="139" customFormat="false" ht="15" hidden="false" customHeight="false" outlineLevel="0" collapsed="false">
      <c r="A139" s="13" t="n">
        <v>1158</v>
      </c>
      <c r="B139" s="14" t="n">
        <v>46208</v>
      </c>
      <c r="C139" s="13" t="s">
        <v>310</v>
      </c>
      <c r="D139" s="13" t="s">
        <v>311</v>
      </c>
      <c r="E139" s="13" t="s">
        <v>24</v>
      </c>
      <c r="F139" s="13" t="s">
        <v>19</v>
      </c>
      <c r="G139" s="13" t="s">
        <v>86</v>
      </c>
      <c r="H139" s="13" t="n">
        <v>4</v>
      </c>
      <c r="I139" s="15" t="n">
        <v>750</v>
      </c>
      <c r="J139" s="13" t="s">
        <v>72</v>
      </c>
      <c r="K139" s="13" t="s">
        <v>58</v>
      </c>
      <c r="L139" s="13" t="s">
        <v>35</v>
      </c>
      <c r="M139" s="15" t="n">
        <f aca="false">IF(AND(ISNUMBER(H139),ISNUMBER(I139)),H139*I139,"")</f>
        <v>3000</v>
      </c>
    </row>
    <row r="140" customFormat="false" ht="15" hidden="false" customHeight="false" outlineLevel="0" collapsed="false">
      <c r="A140" s="13" t="n">
        <v>1171</v>
      </c>
      <c r="B140" s="14" t="n">
        <v>46231</v>
      </c>
      <c r="C140" s="13" t="s">
        <v>282</v>
      </c>
      <c r="D140" s="13" t="s">
        <v>312</v>
      </c>
      <c r="E140" s="13" t="s">
        <v>29</v>
      </c>
      <c r="F140" s="13" t="s">
        <v>18</v>
      </c>
      <c r="G140" s="13" t="s">
        <v>63</v>
      </c>
      <c r="H140" s="13" t="n">
        <v>2</v>
      </c>
      <c r="I140" s="15" t="n">
        <v>950</v>
      </c>
      <c r="J140" s="13" t="s">
        <v>51</v>
      </c>
      <c r="K140" s="13" t="s">
        <v>80</v>
      </c>
      <c r="L140" s="13" t="s">
        <v>35</v>
      </c>
      <c r="M140" s="15" t="n">
        <f aca="false">IF(AND(ISNUMBER(H140),ISNUMBER(I140)),H140*I140,"")</f>
        <v>1900</v>
      </c>
    </row>
    <row r="141" customFormat="false" ht="15" hidden="false" customHeight="false" outlineLevel="0" collapsed="false">
      <c r="A141" s="13" t="n">
        <v>1122</v>
      </c>
      <c r="B141" s="14" t="n">
        <v>46252</v>
      </c>
      <c r="C141" s="13" t="s">
        <v>313</v>
      </c>
      <c r="D141" s="13" t="s">
        <v>314</v>
      </c>
      <c r="E141" s="13" t="s">
        <v>26</v>
      </c>
      <c r="F141" s="13" t="s">
        <v>131</v>
      </c>
      <c r="G141" s="13" t="s">
        <v>56</v>
      </c>
      <c r="H141" s="13" t="n">
        <v>1</v>
      </c>
      <c r="I141" s="15" t="n">
        <v>180</v>
      </c>
      <c r="J141" s="13" t="s">
        <v>51</v>
      </c>
      <c r="K141" s="13" t="s">
        <v>58</v>
      </c>
      <c r="L141" s="13" t="s">
        <v>36</v>
      </c>
      <c r="M141" s="15" t="n">
        <f aca="false">IF(AND(ISNUMBER(H141),ISNUMBER(I141)),H141*I141,"")</f>
        <v>180</v>
      </c>
    </row>
    <row r="142" customFormat="false" ht="15" hidden="false" customHeight="false" outlineLevel="0" collapsed="false">
      <c r="A142" s="13" t="n">
        <v>1436</v>
      </c>
      <c r="B142" s="14" t="n">
        <v>46225</v>
      </c>
      <c r="C142" s="13" t="s">
        <v>192</v>
      </c>
      <c r="D142" s="13" t="s">
        <v>315</v>
      </c>
      <c r="E142" s="13" t="s">
        <v>28</v>
      </c>
      <c r="F142" s="13" t="s">
        <v>16</v>
      </c>
      <c r="G142" s="13" t="s">
        <v>101</v>
      </c>
      <c r="H142" s="13" t="n">
        <v>1</v>
      </c>
      <c r="I142" s="15" t="n">
        <v>1100</v>
      </c>
      <c r="J142" s="13" t="s">
        <v>72</v>
      </c>
      <c r="K142" s="13" t="s">
        <v>75</v>
      </c>
      <c r="L142" s="13" t="s">
        <v>35</v>
      </c>
      <c r="M142" s="15" t="n">
        <f aca="false">IF(AND(ISNUMBER(H142),ISNUMBER(I142)),H142*I142,"")</f>
        <v>1100</v>
      </c>
    </row>
    <row r="143" customFormat="false" ht="15" hidden="false" customHeight="false" outlineLevel="0" collapsed="false">
      <c r="A143" s="13" t="n">
        <v>1244</v>
      </c>
      <c r="B143" s="14" t="n">
        <v>46235</v>
      </c>
      <c r="C143" s="13" t="s">
        <v>159</v>
      </c>
      <c r="D143" s="13" t="s">
        <v>316</v>
      </c>
      <c r="E143" s="13" t="s">
        <v>24</v>
      </c>
      <c r="F143" s="13" t="s">
        <v>17</v>
      </c>
      <c r="G143" s="13" t="s">
        <v>86</v>
      </c>
      <c r="H143" s="13" t="n">
        <v>1</v>
      </c>
      <c r="I143" s="15" t="n">
        <v>900</v>
      </c>
      <c r="J143" s="13" t="s">
        <v>64</v>
      </c>
      <c r="K143" s="13" t="s">
        <v>52</v>
      </c>
      <c r="L143" s="13" t="s">
        <v>36</v>
      </c>
      <c r="M143" s="15" t="n">
        <f aca="false">IF(AND(ISNUMBER(H143),ISNUMBER(I143)),H143*I143,"")</f>
        <v>900</v>
      </c>
    </row>
    <row r="144" customFormat="false" ht="15" hidden="false" customHeight="false" outlineLevel="0" collapsed="false">
      <c r="A144" s="13" t="n">
        <v>1218</v>
      </c>
      <c r="B144" s="14" t="n">
        <v>46222</v>
      </c>
      <c r="C144" s="13" t="s">
        <v>317</v>
      </c>
      <c r="D144" s="13" t="s">
        <v>318</v>
      </c>
      <c r="E144" s="13" t="s">
        <v>24</v>
      </c>
      <c r="F144" s="13" t="s">
        <v>19</v>
      </c>
      <c r="G144" s="13" t="s">
        <v>86</v>
      </c>
      <c r="H144" s="13" t="n">
        <v>1</v>
      </c>
      <c r="I144" s="15"/>
      <c r="J144" s="13" t="s">
        <v>51</v>
      </c>
      <c r="K144" s="13" t="s">
        <v>58</v>
      </c>
      <c r="L144" s="13" t="s">
        <v>35</v>
      </c>
      <c r="M144" s="15" t="str">
        <f aca="false">IF(AND(ISNUMBER(H144),ISNUMBER(I144)),H144*I144,"")</f>
        <v/>
      </c>
    </row>
    <row r="145" customFormat="false" ht="15" hidden="false" customHeight="false" outlineLevel="0" collapsed="false">
      <c r="A145" s="13" t="n">
        <v>1046</v>
      </c>
      <c r="B145" s="14" t="n">
        <v>46256</v>
      </c>
      <c r="C145" s="13" t="s">
        <v>319</v>
      </c>
      <c r="D145" s="13" t="s">
        <v>68</v>
      </c>
      <c r="E145" s="13" t="s">
        <v>30</v>
      </c>
      <c r="F145" s="13" t="s">
        <v>55</v>
      </c>
      <c r="G145" s="13" t="s">
        <v>56</v>
      </c>
      <c r="H145" s="13" t="n">
        <v>1</v>
      </c>
      <c r="I145" s="15" t="n">
        <v>450</v>
      </c>
      <c r="J145" s="13" t="s">
        <v>64</v>
      </c>
      <c r="K145" s="13" t="s">
        <v>80</v>
      </c>
      <c r="L145" s="13" t="s">
        <v>36</v>
      </c>
      <c r="M145" s="15" t="n">
        <f aca="false">IF(AND(ISNUMBER(H145),ISNUMBER(I145)),H145*I145,"")</f>
        <v>450</v>
      </c>
    </row>
    <row r="146" customFormat="false" ht="15" hidden="false" customHeight="false" outlineLevel="0" collapsed="false">
      <c r="A146" s="13" t="n">
        <v>1198</v>
      </c>
      <c r="B146" s="14" t="n">
        <v>46184</v>
      </c>
      <c r="C146" s="13" t="s">
        <v>320</v>
      </c>
      <c r="D146" s="13" t="s">
        <v>321</v>
      </c>
      <c r="E146" s="13" t="s">
        <v>26</v>
      </c>
      <c r="F146" s="13" t="s">
        <v>131</v>
      </c>
      <c r="G146" s="13" t="s">
        <v>56</v>
      </c>
      <c r="H146" s="13" t="n">
        <v>1</v>
      </c>
      <c r="I146" s="15"/>
      <c r="J146" s="13" t="s">
        <v>57</v>
      </c>
      <c r="K146" s="13" t="s">
        <v>80</v>
      </c>
      <c r="L146" s="13" t="s">
        <v>34</v>
      </c>
      <c r="M146" s="15" t="str">
        <f aca="false">IF(AND(ISNUMBER(H146),ISNUMBER(I146)),H146*I146,"")</f>
        <v/>
      </c>
    </row>
    <row r="147" customFormat="false" ht="15" hidden="false" customHeight="false" outlineLevel="0" collapsed="false">
      <c r="A147" s="13" t="n">
        <v>1391</v>
      </c>
      <c r="B147" s="14" t="n">
        <v>46256</v>
      </c>
      <c r="C147" s="13" t="s">
        <v>235</v>
      </c>
      <c r="D147" s="13" t="s">
        <v>322</v>
      </c>
      <c r="E147" s="13" t="s">
        <v>25</v>
      </c>
      <c r="F147" s="13" t="s">
        <v>91</v>
      </c>
      <c r="G147" s="13" t="s">
        <v>71</v>
      </c>
      <c r="H147" s="13" t="n">
        <v>3</v>
      </c>
      <c r="I147" s="15" t="n">
        <v>300</v>
      </c>
      <c r="J147" s="13" t="s">
        <v>57</v>
      </c>
      <c r="K147" s="13" t="s">
        <v>58</v>
      </c>
      <c r="L147" s="13" t="s">
        <v>36</v>
      </c>
      <c r="M147" s="15" t="n">
        <f aca="false">IF(AND(ISNUMBER(H147),ISNUMBER(I147)),H147*I147,"")</f>
        <v>900</v>
      </c>
    </row>
    <row r="148" customFormat="false" ht="15" hidden="false" customHeight="false" outlineLevel="0" collapsed="false">
      <c r="A148" s="13" t="n">
        <v>1332</v>
      </c>
      <c r="B148" s="14" t="n">
        <v>46264</v>
      </c>
      <c r="C148" s="13" t="s">
        <v>323</v>
      </c>
      <c r="D148" s="13" t="s">
        <v>324</v>
      </c>
      <c r="E148" s="13" t="s">
        <v>30</v>
      </c>
      <c r="F148" s="13" t="s">
        <v>17</v>
      </c>
      <c r="G148" s="13" t="s">
        <v>86</v>
      </c>
      <c r="H148" s="13" t="n">
        <v>2</v>
      </c>
      <c r="I148" s="15" t="n">
        <v>900</v>
      </c>
      <c r="J148" s="13" t="s">
        <v>64</v>
      </c>
      <c r="K148" s="13" t="s">
        <v>52</v>
      </c>
      <c r="L148" s="13" t="s">
        <v>36</v>
      </c>
      <c r="M148" s="15" t="n">
        <f aca="false">IF(AND(ISNUMBER(H148),ISNUMBER(I148)),H148*I148,"")</f>
        <v>1800</v>
      </c>
    </row>
    <row r="149" customFormat="false" ht="15" hidden="false" customHeight="false" outlineLevel="0" collapsed="false">
      <c r="A149" s="13" t="n">
        <v>1207</v>
      </c>
      <c r="B149" s="14" t="n">
        <v>46253</v>
      </c>
      <c r="C149" s="13" t="s">
        <v>325</v>
      </c>
      <c r="D149" s="13" t="s">
        <v>68</v>
      </c>
      <c r="E149" s="13" t="s">
        <v>24</v>
      </c>
      <c r="F149" s="13" t="s">
        <v>49</v>
      </c>
      <c r="G149" s="13" t="s">
        <v>50</v>
      </c>
      <c r="H149" s="13" t="n">
        <v>3</v>
      </c>
      <c r="I149" s="15" t="n">
        <v>120</v>
      </c>
      <c r="J149" s="13" t="s">
        <v>72</v>
      </c>
      <c r="K149" s="13" t="s">
        <v>52</v>
      </c>
      <c r="L149" s="13" t="s">
        <v>36</v>
      </c>
      <c r="M149" s="15" t="n">
        <f aca="false">IF(AND(ISNUMBER(H149),ISNUMBER(I149)),H149*I149,"")</f>
        <v>360</v>
      </c>
    </row>
    <row r="150" customFormat="false" ht="15" hidden="false" customHeight="false" outlineLevel="0" collapsed="false">
      <c r="A150" s="13" t="n">
        <v>1056</v>
      </c>
      <c r="B150" s="14" t="n">
        <v>46257</v>
      </c>
      <c r="C150" s="13" t="s">
        <v>326</v>
      </c>
      <c r="D150" s="13" t="s">
        <v>327</v>
      </c>
      <c r="E150" s="13" t="s">
        <v>24</v>
      </c>
      <c r="F150" s="13" t="s">
        <v>96</v>
      </c>
      <c r="G150" s="13" t="s">
        <v>56</v>
      </c>
      <c r="H150" s="13" t="n">
        <v>2</v>
      </c>
      <c r="I150" s="15" t="n">
        <v>320</v>
      </c>
      <c r="J150" s="13" t="s">
        <v>72</v>
      </c>
      <c r="K150" s="13" t="s">
        <v>58</v>
      </c>
      <c r="L150" s="13" t="s">
        <v>36</v>
      </c>
      <c r="M150" s="15" t="n">
        <f aca="false">IF(AND(ISNUMBER(H150),ISNUMBER(I150)),H150*I150,"")</f>
        <v>640</v>
      </c>
    </row>
    <row r="151" customFormat="false" ht="15" hidden="false" customHeight="false" outlineLevel="0" collapsed="false">
      <c r="A151" s="13" t="n">
        <v>1168</v>
      </c>
      <c r="B151" s="14" t="n">
        <v>46243</v>
      </c>
      <c r="C151" s="13" t="s">
        <v>328</v>
      </c>
      <c r="D151" s="13" t="s">
        <v>329</v>
      </c>
      <c r="E151" s="13" t="s">
        <v>28</v>
      </c>
      <c r="F151" s="13" t="s">
        <v>17</v>
      </c>
      <c r="G151" s="13" t="s">
        <v>86</v>
      </c>
      <c r="H151" s="13" t="n">
        <v>2</v>
      </c>
      <c r="I151" s="15" t="n">
        <v>900</v>
      </c>
      <c r="J151" s="13" t="s">
        <v>72</v>
      </c>
      <c r="K151" s="13" t="s">
        <v>58</v>
      </c>
      <c r="L151" s="13" t="s">
        <v>36</v>
      </c>
      <c r="M151" s="15" t="n">
        <f aca="false">IF(AND(ISNUMBER(H151),ISNUMBER(I151)),H151*I151,"")</f>
        <v>1800</v>
      </c>
    </row>
    <row r="152" customFormat="false" ht="15" hidden="false" customHeight="false" outlineLevel="0" collapsed="false">
      <c r="A152" s="13" t="n">
        <v>1069</v>
      </c>
      <c r="B152" s="14" t="n">
        <v>46260</v>
      </c>
      <c r="C152" s="13" t="s">
        <v>102</v>
      </c>
      <c r="D152" s="13" t="s">
        <v>330</v>
      </c>
      <c r="E152" s="13" t="s">
        <v>24</v>
      </c>
      <c r="F152" s="13" t="s">
        <v>96</v>
      </c>
      <c r="G152" s="13" t="s">
        <v>56</v>
      </c>
      <c r="H152" s="13" t="n">
        <v>2</v>
      </c>
      <c r="I152" s="15" t="n">
        <v>320</v>
      </c>
      <c r="J152" s="13" t="s">
        <v>64</v>
      </c>
      <c r="K152" s="13" t="s">
        <v>75</v>
      </c>
      <c r="L152" s="13" t="s">
        <v>36</v>
      </c>
      <c r="M152" s="15" t="n">
        <f aca="false">IF(AND(ISNUMBER(H152),ISNUMBER(I152)),H152*I152,"")</f>
        <v>640</v>
      </c>
    </row>
    <row r="153" customFormat="false" ht="15" hidden="false" customHeight="false" outlineLevel="0" collapsed="false">
      <c r="A153" s="13" t="n">
        <v>1422</v>
      </c>
      <c r="B153" s="14" t="n">
        <v>46175</v>
      </c>
      <c r="C153" s="13" t="s">
        <v>331</v>
      </c>
      <c r="D153" s="13" t="s">
        <v>332</v>
      </c>
      <c r="E153" s="13" t="s">
        <v>27</v>
      </c>
      <c r="F153" s="13" t="s">
        <v>49</v>
      </c>
      <c r="G153" s="13" t="s">
        <v>50</v>
      </c>
      <c r="H153" s="13" t="n">
        <v>1</v>
      </c>
      <c r="I153" s="15" t="n">
        <v>120</v>
      </c>
      <c r="J153" s="13" t="s">
        <v>72</v>
      </c>
      <c r="K153" s="13" t="s">
        <v>58</v>
      </c>
      <c r="L153" s="13" t="s">
        <v>34</v>
      </c>
      <c r="M153" s="15" t="n">
        <f aca="false">IF(AND(ISNUMBER(H153),ISNUMBER(I153)),H153*I153,"")</f>
        <v>120</v>
      </c>
    </row>
    <row r="154" customFormat="false" ht="15" hidden="false" customHeight="false" outlineLevel="0" collapsed="false">
      <c r="A154" s="13" t="n">
        <v>1166</v>
      </c>
      <c r="B154" s="14" t="n">
        <v>46242</v>
      </c>
      <c r="C154" s="13" t="s">
        <v>333</v>
      </c>
      <c r="D154" s="13" t="s">
        <v>334</v>
      </c>
      <c r="E154" s="13" t="s">
        <v>30</v>
      </c>
      <c r="F154" s="13" t="s">
        <v>19</v>
      </c>
      <c r="G154" s="13" t="s">
        <v>86</v>
      </c>
      <c r="H154" s="13"/>
      <c r="I154" s="15" t="n">
        <v>750</v>
      </c>
      <c r="J154" s="13" t="s">
        <v>64</v>
      </c>
      <c r="K154" s="13" t="s">
        <v>52</v>
      </c>
      <c r="L154" s="13" t="s">
        <v>36</v>
      </c>
      <c r="M154" s="15" t="str">
        <f aca="false">IF(AND(ISNUMBER(H154),ISNUMBER(I154)),H154*I154,"")</f>
        <v/>
      </c>
    </row>
    <row r="155" customFormat="false" ht="15" hidden="false" customHeight="false" outlineLevel="0" collapsed="false">
      <c r="A155" s="13" t="n">
        <v>1444</v>
      </c>
      <c r="B155" s="14" t="n">
        <v>46176</v>
      </c>
      <c r="C155" s="13" t="s">
        <v>335</v>
      </c>
      <c r="D155" s="13" t="s">
        <v>336</v>
      </c>
      <c r="E155" s="13" t="s">
        <v>28</v>
      </c>
      <c r="F155" s="13" t="s">
        <v>131</v>
      </c>
      <c r="G155" s="13" t="s">
        <v>56</v>
      </c>
      <c r="H155" s="13" t="n">
        <v>1</v>
      </c>
      <c r="I155" s="15" t="n">
        <v>180</v>
      </c>
      <c r="J155" s="13" t="s">
        <v>64</v>
      </c>
      <c r="K155" s="13" t="s">
        <v>75</v>
      </c>
      <c r="L155" s="13" t="s">
        <v>34</v>
      </c>
      <c r="M155" s="15" t="n">
        <f aca="false">IF(AND(ISNUMBER(H155),ISNUMBER(I155)),H155*I155,"")</f>
        <v>180</v>
      </c>
    </row>
    <row r="156" customFormat="false" ht="15" hidden="false" customHeight="false" outlineLevel="0" collapsed="false">
      <c r="A156" s="13" t="n">
        <v>1102</v>
      </c>
      <c r="B156" s="14" t="n">
        <v>46245</v>
      </c>
      <c r="C156" s="13" t="s">
        <v>117</v>
      </c>
      <c r="D156" s="13" t="s">
        <v>337</v>
      </c>
      <c r="E156" s="13" t="s">
        <v>24</v>
      </c>
      <c r="F156" s="13" t="s">
        <v>96</v>
      </c>
      <c r="G156" s="13" t="s">
        <v>56</v>
      </c>
      <c r="H156" s="13" t="n">
        <v>1</v>
      </c>
      <c r="I156" s="15" t="n">
        <v>320</v>
      </c>
      <c r="J156" s="13" t="s">
        <v>72</v>
      </c>
      <c r="K156" s="13" t="s">
        <v>58</v>
      </c>
      <c r="L156" s="13" t="s">
        <v>36</v>
      </c>
      <c r="M156" s="15" t="n">
        <f aca="false">IF(AND(ISNUMBER(H156),ISNUMBER(I156)),H156*I156,"")</f>
        <v>320</v>
      </c>
    </row>
    <row r="157" customFormat="false" ht="15" hidden="false" customHeight="false" outlineLevel="0" collapsed="false">
      <c r="A157" s="13" t="n">
        <v>1177</v>
      </c>
      <c r="B157" s="14" t="n">
        <v>46254</v>
      </c>
      <c r="C157" s="13" t="s">
        <v>338</v>
      </c>
      <c r="D157" s="13" t="s">
        <v>339</v>
      </c>
      <c r="E157" s="13" t="s">
        <v>28</v>
      </c>
      <c r="F157" s="13" t="s">
        <v>18</v>
      </c>
      <c r="G157" s="13" t="s">
        <v>63</v>
      </c>
      <c r="H157" s="13" t="n">
        <v>1</v>
      </c>
      <c r="I157" s="15" t="n">
        <v>950</v>
      </c>
      <c r="J157" s="13" t="s">
        <v>72</v>
      </c>
      <c r="K157" s="13" t="s">
        <v>58</v>
      </c>
      <c r="L157" s="13" t="s">
        <v>36</v>
      </c>
      <c r="M157" s="15" t="n">
        <f aca="false">IF(AND(ISNUMBER(H157),ISNUMBER(I157)),H157*I157,"")</f>
        <v>950</v>
      </c>
    </row>
    <row r="158" customFormat="false" ht="15" hidden="false" customHeight="false" outlineLevel="0" collapsed="false">
      <c r="A158" s="13" t="n">
        <v>1326</v>
      </c>
      <c r="B158" s="14" t="n">
        <v>46215</v>
      </c>
      <c r="C158" s="13" t="s">
        <v>228</v>
      </c>
      <c r="D158" s="13" t="s">
        <v>340</v>
      </c>
      <c r="E158" s="13" t="s">
        <v>29</v>
      </c>
      <c r="F158" s="13" t="s">
        <v>96</v>
      </c>
      <c r="G158" s="13" t="s">
        <v>56</v>
      </c>
      <c r="H158" s="13" t="n">
        <v>3</v>
      </c>
      <c r="I158" s="15" t="n">
        <v>320</v>
      </c>
      <c r="J158" s="13" t="s">
        <v>51</v>
      </c>
      <c r="K158" s="13" t="s">
        <v>75</v>
      </c>
      <c r="L158" s="13" t="s">
        <v>35</v>
      </c>
      <c r="M158" s="15" t="n">
        <f aca="false">IF(AND(ISNUMBER(H158),ISNUMBER(I158)),H158*I158,"")</f>
        <v>960</v>
      </c>
    </row>
    <row r="159" customFormat="false" ht="15" hidden="false" customHeight="false" outlineLevel="0" collapsed="false">
      <c r="A159" s="13" t="n">
        <v>1076</v>
      </c>
      <c r="B159" s="14" t="n">
        <v>46224</v>
      </c>
      <c r="C159" s="13" t="s">
        <v>211</v>
      </c>
      <c r="D159" s="13" t="s">
        <v>341</v>
      </c>
      <c r="E159" s="13" t="s">
        <v>26</v>
      </c>
      <c r="F159" s="13" t="s">
        <v>16</v>
      </c>
      <c r="G159" s="13" t="s">
        <v>101</v>
      </c>
      <c r="H159" s="13" t="n">
        <v>1</v>
      </c>
      <c r="I159" s="15"/>
      <c r="J159" s="13" t="s">
        <v>51</v>
      </c>
      <c r="K159" s="13" t="s">
        <v>52</v>
      </c>
      <c r="L159" s="13" t="s">
        <v>35</v>
      </c>
      <c r="M159" s="15" t="str">
        <f aca="false">IF(AND(ISNUMBER(H159),ISNUMBER(I159)),H159*I159,"")</f>
        <v/>
      </c>
    </row>
    <row r="160" customFormat="false" ht="15" hidden="false" customHeight="false" outlineLevel="0" collapsed="false">
      <c r="A160" s="13" t="n">
        <v>1064</v>
      </c>
      <c r="B160" s="14" t="n">
        <v>46251</v>
      </c>
      <c r="C160" s="13" t="s">
        <v>188</v>
      </c>
      <c r="D160" s="13" t="s">
        <v>342</v>
      </c>
      <c r="E160" s="13" t="s">
        <v>24</v>
      </c>
      <c r="F160" s="13" t="s">
        <v>131</v>
      </c>
      <c r="G160" s="13" t="s">
        <v>56</v>
      </c>
      <c r="H160" s="13" t="n">
        <v>1</v>
      </c>
      <c r="I160" s="15" t="n">
        <v>180</v>
      </c>
      <c r="J160" s="13" t="s">
        <v>72</v>
      </c>
      <c r="K160" s="13" t="s">
        <v>75</v>
      </c>
      <c r="L160" s="13" t="s">
        <v>36</v>
      </c>
      <c r="M160" s="15" t="n">
        <f aca="false">IF(AND(ISNUMBER(H160),ISNUMBER(I160)),H160*I160,"")</f>
        <v>180</v>
      </c>
    </row>
    <row r="161" customFormat="false" ht="15" hidden="false" customHeight="false" outlineLevel="0" collapsed="false">
      <c r="A161" s="13" t="n">
        <v>1216</v>
      </c>
      <c r="B161" s="14" t="n">
        <v>46193</v>
      </c>
      <c r="C161" s="13" t="s">
        <v>343</v>
      </c>
      <c r="D161" s="13" t="s">
        <v>68</v>
      </c>
      <c r="E161" s="13" t="s">
        <v>26</v>
      </c>
      <c r="F161" s="13" t="s">
        <v>20</v>
      </c>
      <c r="G161" s="13" t="s">
        <v>71</v>
      </c>
      <c r="H161" s="13" t="n">
        <v>2</v>
      </c>
      <c r="I161" s="15" t="n">
        <v>550</v>
      </c>
      <c r="J161" s="13" t="s">
        <v>64</v>
      </c>
      <c r="K161" s="13" t="s">
        <v>58</v>
      </c>
      <c r="L161" s="13" t="s">
        <v>34</v>
      </c>
      <c r="M161" s="15" t="n">
        <f aca="false">IF(AND(ISNUMBER(H161),ISNUMBER(I161)),H161*I161,"")</f>
        <v>1100</v>
      </c>
    </row>
    <row r="162" customFormat="false" ht="15" hidden="false" customHeight="false" outlineLevel="0" collapsed="false">
      <c r="A162" s="13" t="n">
        <v>1267</v>
      </c>
      <c r="B162" s="14" t="n">
        <v>46232</v>
      </c>
      <c r="C162" s="13" t="s">
        <v>248</v>
      </c>
      <c r="D162" s="13" t="s">
        <v>344</v>
      </c>
      <c r="E162" s="13"/>
      <c r="F162" s="13" t="s">
        <v>20</v>
      </c>
      <c r="G162" s="13" t="s">
        <v>71</v>
      </c>
      <c r="H162" s="13" t="n">
        <v>3</v>
      </c>
      <c r="I162" s="15" t="n">
        <v>550</v>
      </c>
      <c r="J162" s="13" t="s">
        <v>51</v>
      </c>
      <c r="K162" s="13" t="s">
        <v>58</v>
      </c>
      <c r="L162" s="13" t="s">
        <v>35</v>
      </c>
      <c r="M162" s="15" t="n">
        <f aca="false">IF(AND(ISNUMBER(H162),ISNUMBER(I162)),H162*I162,"")</f>
        <v>1650</v>
      </c>
    </row>
    <row r="163" customFormat="false" ht="15" hidden="false" customHeight="false" outlineLevel="0" collapsed="false">
      <c r="A163" s="13" t="n">
        <v>1226</v>
      </c>
      <c r="B163" s="14" t="n">
        <v>46194</v>
      </c>
      <c r="C163" s="13" t="s">
        <v>345</v>
      </c>
      <c r="D163" s="13" t="s">
        <v>346</v>
      </c>
      <c r="E163" s="13" t="s">
        <v>25</v>
      </c>
      <c r="F163" s="13" t="s">
        <v>18</v>
      </c>
      <c r="G163" s="13" t="s">
        <v>63</v>
      </c>
      <c r="H163" s="13" t="n">
        <v>2</v>
      </c>
      <c r="I163" s="15" t="n">
        <v>950</v>
      </c>
      <c r="J163" s="13" t="s">
        <v>72</v>
      </c>
      <c r="K163" s="13" t="s">
        <v>58</v>
      </c>
      <c r="L163" s="13" t="s">
        <v>34</v>
      </c>
      <c r="M163" s="15" t="n">
        <f aca="false">IF(AND(ISNUMBER(H163),ISNUMBER(I163)),H163*I163,"")</f>
        <v>1900</v>
      </c>
    </row>
    <row r="164" customFormat="false" ht="15" hidden="false" customHeight="false" outlineLevel="0" collapsed="false">
      <c r="A164" s="13" t="n">
        <v>1004</v>
      </c>
      <c r="B164" s="14" t="n">
        <v>46224</v>
      </c>
      <c r="C164" s="13" t="s">
        <v>61</v>
      </c>
      <c r="D164" s="13" t="s">
        <v>347</v>
      </c>
      <c r="E164" s="13" t="s">
        <v>28</v>
      </c>
      <c r="F164" s="13" t="s">
        <v>20</v>
      </c>
      <c r="G164" s="13" t="s">
        <v>71</v>
      </c>
      <c r="H164" s="13" t="n">
        <v>2</v>
      </c>
      <c r="I164" s="15" t="n">
        <v>550</v>
      </c>
      <c r="J164" s="13" t="s">
        <v>72</v>
      </c>
      <c r="K164" s="13" t="s">
        <v>58</v>
      </c>
      <c r="L164" s="13" t="s">
        <v>35</v>
      </c>
      <c r="M164" s="15" t="n">
        <f aca="false">IF(AND(ISNUMBER(H164),ISNUMBER(I164)),H164*I164,"")</f>
        <v>1100</v>
      </c>
    </row>
    <row r="165" customFormat="false" ht="15" hidden="false" customHeight="false" outlineLevel="0" collapsed="false">
      <c r="A165" s="13" t="n">
        <v>1034</v>
      </c>
      <c r="B165" s="14" t="n">
        <v>46215</v>
      </c>
      <c r="C165" s="13" t="s">
        <v>348</v>
      </c>
      <c r="D165" s="13" t="s">
        <v>349</v>
      </c>
      <c r="E165" s="13" t="s">
        <v>25</v>
      </c>
      <c r="F165" s="13" t="s">
        <v>55</v>
      </c>
      <c r="G165" s="13" t="s">
        <v>56</v>
      </c>
      <c r="H165" s="13" t="n">
        <v>1</v>
      </c>
      <c r="I165" s="15" t="n">
        <v>450</v>
      </c>
      <c r="J165" s="13" t="s">
        <v>57</v>
      </c>
      <c r="K165" s="13" t="s">
        <v>80</v>
      </c>
      <c r="L165" s="13" t="s">
        <v>35</v>
      </c>
      <c r="M165" s="15" t="n">
        <f aca="false">IF(AND(ISNUMBER(H165),ISNUMBER(I165)),H165*I165,"")</f>
        <v>450</v>
      </c>
    </row>
    <row r="166" customFormat="false" ht="15" hidden="false" customHeight="false" outlineLevel="0" collapsed="false">
      <c r="A166" s="13" t="n">
        <v>1368</v>
      </c>
      <c r="B166" s="14" t="n">
        <v>46221</v>
      </c>
      <c r="C166" s="13" t="s">
        <v>143</v>
      </c>
      <c r="D166" s="13" t="s">
        <v>350</v>
      </c>
      <c r="E166" s="13" t="s">
        <v>25</v>
      </c>
      <c r="F166" s="13" t="s">
        <v>19</v>
      </c>
      <c r="G166" s="13" t="s">
        <v>86</v>
      </c>
      <c r="H166" s="13" t="n">
        <v>1</v>
      </c>
      <c r="I166" s="15" t="n">
        <v>750</v>
      </c>
      <c r="J166" s="13" t="s">
        <v>57</v>
      </c>
      <c r="K166" s="13" t="s">
        <v>58</v>
      </c>
      <c r="L166" s="13" t="s">
        <v>35</v>
      </c>
      <c r="M166" s="15" t="n">
        <f aca="false">IF(AND(ISNUMBER(H166),ISNUMBER(I166)),H166*I166,"")</f>
        <v>750</v>
      </c>
    </row>
    <row r="167" customFormat="false" ht="15" hidden="false" customHeight="false" outlineLevel="0" collapsed="false">
      <c r="A167" s="13" t="n">
        <v>1120</v>
      </c>
      <c r="B167" s="14" t="n">
        <v>46204</v>
      </c>
      <c r="C167" s="13" t="s">
        <v>237</v>
      </c>
      <c r="D167" s="13" t="s">
        <v>351</v>
      </c>
      <c r="E167" s="13" t="s">
        <v>29</v>
      </c>
      <c r="F167" s="13" t="s">
        <v>16</v>
      </c>
      <c r="G167" s="13" t="s">
        <v>101</v>
      </c>
      <c r="H167" s="13" t="n">
        <v>1</v>
      </c>
      <c r="I167" s="15" t="n">
        <v>1100</v>
      </c>
      <c r="J167" s="13" t="s">
        <v>64</v>
      </c>
      <c r="K167" s="13" t="s">
        <v>58</v>
      </c>
      <c r="L167" s="13" t="s">
        <v>35</v>
      </c>
      <c r="M167" s="15" t="n">
        <f aca="false">IF(AND(ISNUMBER(H167),ISNUMBER(I167)),H167*I167,"")</f>
        <v>1100</v>
      </c>
    </row>
    <row r="168" customFormat="false" ht="15" hidden="false" customHeight="false" outlineLevel="0" collapsed="false">
      <c r="A168" s="13" t="n">
        <v>1357</v>
      </c>
      <c r="B168" s="14" t="n">
        <v>46204</v>
      </c>
      <c r="C168" s="13" t="s">
        <v>352</v>
      </c>
      <c r="D168" s="13" t="s">
        <v>353</v>
      </c>
      <c r="E168" s="13" t="s">
        <v>29</v>
      </c>
      <c r="F168" s="13" t="s">
        <v>20</v>
      </c>
      <c r="G168" s="13" t="s">
        <v>71</v>
      </c>
      <c r="H168" s="13" t="n">
        <v>1</v>
      </c>
      <c r="I168" s="15" t="n">
        <v>550</v>
      </c>
      <c r="J168" s="13" t="s">
        <v>64</v>
      </c>
      <c r="K168" s="13" t="s">
        <v>58</v>
      </c>
      <c r="L168" s="13" t="s">
        <v>35</v>
      </c>
      <c r="M168" s="15" t="n">
        <f aca="false">IF(AND(ISNUMBER(H168),ISNUMBER(I168)),H168*I168,"")</f>
        <v>550</v>
      </c>
    </row>
    <row r="169" customFormat="false" ht="15" hidden="false" customHeight="false" outlineLevel="0" collapsed="false">
      <c r="A169" s="13" t="n">
        <v>1354</v>
      </c>
      <c r="B169" s="14" t="n">
        <v>46201</v>
      </c>
      <c r="C169" s="13" t="s">
        <v>354</v>
      </c>
      <c r="D169" s="13" t="s">
        <v>355</v>
      </c>
      <c r="E169" s="13" t="s">
        <v>25</v>
      </c>
      <c r="F169" s="13" t="s">
        <v>55</v>
      </c>
      <c r="G169" s="13" t="s">
        <v>56</v>
      </c>
      <c r="H169" s="13" t="n">
        <v>2</v>
      </c>
      <c r="I169" s="15" t="n">
        <v>450</v>
      </c>
      <c r="J169" s="13" t="s">
        <v>72</v>
      </c>
      <c r="K169" s="13" t="s">
        <v>58</v>
      </c>
      <c r="L169" s="13" t="s">
        <v>34</v>
      </c>
      <c r="M169" s="15" t="n">
        <f aca="false">IF(AND(ISNUMBER(H169),ISNUMBER(I169)),H169*I169,"")</f>
        <v>900</v>
      </c>
    </row>
    <row r="170" customFormat="false" ht="15" hidden="false" customHeight="false" outlineLevel="0" collapsed="false">
      <c r="A170" s="13" t="n">
        <v>1133</v>
      </c>
      <c r="B170" s="14" t="n">
        <v>46214</v>
      </c>
      <c r="C170" s="13" t="s">
        <v>47</v>
      </c>
      <c r="D170" s="13" t="s">
        <v>356</v>
      </c>
      <c r="E170" s="13" t="s">
        <v>29</v>
      </c>
      <c r="F170" s="13" t="s">
        <v>96</v>
      </c>
      <c r="G170" s="13" t="s">
        <v>56</v>
      </c>
      <c r="H170" s="13" t="n">
        <v>1</v>
      </c>
      <c r="I170" s="15" t="n">
        <v>320</v>
      </c>
      <c r="J170" s="13" t="s">
        <v>51</v>
      </c>
      <c r="K170" s="13" t="s">
        <v>58</v>
      </c>
      <c r="L170" s="13" t="s">
        <v>35</v>
      </c>
      <c r="M170" s="15" t="n">
        <f aca="false">IF(AND(ISNUMBER(H170),ISNUMBER(I170)),H170*I170,"")</f>
        <v>320</v>
      </c>
    </row>
    <row r="171" customFormat="false" ht="15" hidden="false" customHeight="false" outlineLevel="0" collapsed="false">
      <c r="A171" s="13" t="n">
        <v>1146</v>
      </c>
      <c r="B171" s="14" t="n">
        <v>46218</v>
      </c>
      <c r="C171" s="13" t="s">
        <v>206</v>
      </c>
      <c r="D171" s="13" t="s">
        <v>357</v>
      </c>
      <c r="E171" s="13" t="s">
        <v>25</v>
      </c>
      <c r="F171" s="13" t="s">
        <v>16</v>
      </c>
      <c r="G171" s="13" t="s">
        <v>101</v>
      </c>
      <c r="H171" s="13" t="n">
        <v>1</v>
      </c>
      <c r="I171" s="15"/>
      <c r="J171" s="13" t="s">
        <v>51</v>
      </c>
      <c r="K171" s="13" t="s">
        <v>52</v>
      </c>
      <c r="L171" s="13" t="s">
        <v>35</v>
      </c>
      <c r="M171" s="15" t="str">
        <f aca="false">IF(AND(ISNUMBER(H171),ISNUMBER(I171)),H171*I171,"")</f>
        <v/>
      </c>
    </row>
    <row r="172" customFormat="false" ht="15" hidden="false" customHeight="false" outlineLevel="0" collapsed="false">
      <c r="A172" s="13" t="n">
        <v>1431</v>
      </c>
      <c r="B172" s="14" t="n">
        <v>46189</v>
      </c>
      <c r="C172" s="13" t="s">
        <v>250</v>
      </c>
      <c r="D172" s="13" t="s">
        <v>358</v>
      </c>
      <c r="E172" s="13" t="s">
        <v>25</v>
      </c>
      <c r="F172" s="13" t="s">
        <v>18</v>
      </c>
      <c r="G172" s="13" t="s">
        <v>63</v>
      </c>
      <c r="H172" s="13" t="n">
        <v>2</v>
      </c>
      <c r="I172" s="15" t="n">
        <v>950</v>
      </c>
      <c r="J172" s="13" t="s">
        <v>64</v>
      </c>
      <c r="K172" s="13" t="s">
        <v>58</v>
      </c>
      <c r="L172" s="13" t="s">
        <v>34</v>
      </c>
      <c r="M172" s="15" t="n">
        <f aca="false">IF(AND(ISNUMBER(H172),ISNUMBER(I172)),H172*I172,"")</f>
        <v>1900</v>
      </c>
    </row>
    <row r="173" customFormat="false" ht="15" hidden="false" customHeight="false" outlineLevel="0" collapsed="false">
      <c r="A173" s="13" t="n">
        <v>1109</v>
      </c>
      <c r="B173" s="14" t="n">
        <v>46264</v>
      </c>
      <c r="C173" s="13" t="s">
        <v>359</v>
      </c>
      <c r="D173" s="13" t="s">
        <v>360</v>
      </c>
      <c r="E173" s="13" t="s">
        <v>25</v>
      </c>
      <c r="F173" s="13" t="s">
        <v>131</v>
      </c>
      <c r="G173" s="13" t="s">
        <v>56</v>
      </c>
      <c r="H173" s="13" t="n">
        <v>1</v>
      </c>
      <c r="I173" s="15" t="n">
        <v>180</v>
      </c>
      <c r="J173" s="13" t="s">
        <v>57</v>
      </c>
      <c r="K173" s="13" t="s">
        <v>75</v>
      </c>
      <c r="L173" s="13" t="s">
        <v>36</v>
      </c>
      <c r="M173" s="15" t="n">
        <f aca="false">IF(AND(ISNUMBER(H173),ISNUMBER(I173)),H173*I173,"")</f>
        <v>180</v>
      </c>
    </row>
    <row r="174" customFormat="false" ht="15" hidden="false" customHeight="false" outlineLevel="0" collapsed="false">
      <c r="A174" s="13" t="n">
        <v>1392</v>
      </c>
      <c r="B174" s="14" t="n">
        <v>46236</v>
      </c>
      <c r="C174" s="13" t="s">
        <v>361</v>
      </c>
      <c r="D174" s="13" t="s">
        <v>362</v>
      </c>
      <c r="E174" s="13" t="s">
        <v>25</v>
      </c>
      <c r="F174" s="13" t="s">
        <v>19</v>
      </c>
      <c r="G174" s="13" t="s">
        <v>86</v>
      </c>
      <c r="H174" s="13" t="n">
        <v>1</v>
      </c>
      <c r="I174" s="15" t="n">
        <v>750</v>
      </c>
      <c r="J174" s="13" t="s">
        <v>57</v>
      </c>
      <c r="K174" s="13" t="s">
        <v>52</v>
      </c>
      <c r="L174" s="13" t="s">
        <v>36</v>
      </c>
      <c r="M174" s="15" t="n">
        <f aca="false">IF(AND(ISNUMBER(H174),ISNUMBER(I174)),H174*I174,"")</f>
        <v>750</v>
      </c>
    </row>
    <row r="175" customFormat="false" ht="15" hidden="false" customHeight="false" outlineLevel="0" collapsed="false">
      <c r="A175" s="13" t="n">
        <v>1210</v>
      </c>
      <c r="B175" s="14" t="n">
        <v>46238</v>
      </c>
      <c r="C175" s="13" t="s">
        <v>363</v>
      </c>
      <c r="D175" s="13" t="s">
        <v>364</v>
      </c>
      <c r="E175" s="13" t="s">
        <v>26</v>
      </c>
      <c r="F175" s="13" t="s">
        <v>55</v>
      </c>
      <c r="G175" s="13" t="s">
        <v>56</v>
      </c>
      <c r="H175" s="13" t="n">
        <v>1</v>
      </c>
      <c r="I175" s="15" t="n">
        <v>450</v>
      </c>
      <c r="J175" s="13" t="s">
        <v>57</v>
      </c>
      <c r="K175" s="13" t="s">
        <v>75</v>
      </c>
      <c r="L175" s="13" t="s">
        <v>36</v>
      </c>
      <c r="M175" s="15" t="n">
        <f aca="false">IF(AND(ISNUMBER(H175),ISNUMBER(I175)),H175*I175,"")</f>
        <v>450</v>
      </c>
    </row>
    <row r="176" customFormat="false" ht="15" hidden="false" customHeight="false" outlineLevel="0" collapsed="false">
      <c r="A176" s="13" t="n">
        <v>1074</v>
      </c>
      <c r="B176" s="14" t="n">
        <v>46237</v>
      </c>
      <c r="C176" s="13" t="s">
        <v>365</v>
      </c>
      <c r="D176" s="13" t="s">
        <v>366</v>
      </c>
      <c r="E176" s="13" t="s">
        <v>29</v>
      </c>
      <c r="F176" s="13" t="s">
        <v>49</v>
      </c>
      <c r="G176" s="13" t="s">
        <v>50</v>
      </c>
      <c r="H176" s="13" t="n">
        <v>2</v>
      </c>
      <c r="I176" s="15" t="n">
        <v>120</v>
      </c>
      <c r="J176" s="13" t="s">
        <v>57</v>
      </c>
      <c r="K176" s="13" t="s">
        <v>75</v>
      </c>
      <c r="L176" s="13" t="s">
        <v>36</v>
      </c>
      <c r="M176" s="15" t="n">
        <f aca="false">IF(AND(ISNUMBER(H176),ISNUMBER(I176)),H176*I176,"")</f>
        <v>240</v>
      </c>
    </row>
    <row r="177" customFormat="false" ht="15" hidden="false" customHeight="false" outlineLevel="0" collapsed="false">
      <c r="A177" s="13" t="n">
        <v>1378</v>
      </c>
      <c r="B177" s="14" t="n">
        <v>46263</v>
      </c>
      <c r="C177" s="13" t="s">
        <v>67</v>
      </c>
      <c r="D177" s="13" t="s">
        <v>367</v>
      </c>
      <c r="E177" s="13" t="s">
        <v>27</v>
      </c>
      <c r="F177" s="13" t="s">
        <v>55</v>
      </c>
      <c r="G177" s="13" t="s">
        <v>56</v>
      </c>
      <c r="H177" s="13" t="n">
        <v>1</v>
      </c>
      <c r="I177" s="15" t="n">
        <v>450</v>
      </c>
      <c r="J177" s="13" t="s">
        <v>72</v>
      </c>
      <c r="K177" s="13" t="s">
        <v>58</v>
      </c>
      <c r="L177" s="13" t="s">
        <v>36</v>
      </c>
      <c r="M177" s="15" t="n">
        <f aca="false">IF(AND(ISNUMBER(H177),ISNUMBER(I177)),H177*I177,"")</f>
        <v>450</v>
      </c>
    </row>
    <row r="178" customFormat="false" ht="15" hidden="false" customHeight="false" outlineLevel="0" collapsed="false">
      <c r="A178" s="13" t="n">
        <v>1362</v>
      </c>
      <c r="B178" s="14" t="n">
        <v>46192</v>
      </c>
      <c r="C178" s="13" t="s">
        <v>368</v>
      </c>
      <c r="D178" s="13" t="s">
        <v>369</v>
      </c>
      <c r="E178" s="13" t="s">
        <v>28</v>
      </c>
      <c r="F178" s="13" t="s">
        <v>20</v>
      </c>
      <c r="G178" s="13" t="s">
        <v>71</v>
      </c>
      <c r="H178" s="13" t="n">
        <v>1</v>
      </c>
      <c r="I178" s="15" t="n">
        <v>550</v>
      </c>
      <c r="J178" s="13" t="s">
        <v>64</v>
      </c>
      <c r="K178" s="13" t="s">
        <v>75</v>
      </c>
      <c r="L178" s="13" t="s">
        <v>34</v>
      </c>
      <c r="M178" s="15" t="n">
        <f aca="false">IF(AND(ISNUMBER(H178),ISNUMBER(I178)),H178*I178,"")</f>
        <v>550</v>
      </c>
    </row>
    <row r="179" customFormat="false" ht="15" hidden="false" customHeight="false" outlineLevel="0" collapsed="false">
      <c r="A179" s="13" t="n">
        <v>1410</v>
      </c>
      <c r="B179" s="14" t="n">
        <v>46181</v>
      </c>
      <c r="C179" s="13" t="s">
        <v>325</v>
      </c>
      <c r="D179" s="13" t="s">
        <v>370</v>
      </c>
      <c r="E179" s="13" t="s">
        <v>28</v>
      </c>
      <c r="F179" s="13" t="s">
        <v>20</v>
      </c>
      <c r="G179" s="13" t="s">
        <v>71</v>
      </c>
      <c r="H179" s="13" t="n">
        <v>2</v>
      </c>
      <c r="I179" s="15"/>
      <c r="J179" s="13" t="s">
        <v>64</v>
      </c>
      <c r="K179" s="13" t="s">
        <v>58</v>
      </c>
      <c r="L179" s="13" t="s">
        <v>34</v>
      </c>
      <c r="M179" s="15" t="str">
        <f aca="false">IF(AND(ISNUMBER(H179),ISNUMBER(I179)),H179*I179,"")</f>
        <v/>
      </c>
    </row>
    <row r="180" customFormat="false" ht="15" hidden="false" customHeight="false" outlineLevel="0" collapsed="false">
      <c r="A180" s="13" t="n">
        <v>1418</v>
      </c>
      <c r="B180" s="14" t="n">
        <v>46253</v>
      </c>
      <c r="C180" s="13" t="s">
        <v>148</v>
      </c>
      <c r="D180" s="13" t="s">
        <v>371</v>
      </c>
      <c r="E180" s="13" t="s">
        <v>28</v>
      </c>
      <c r="F180" s="13" t="s">
        <v>16</v>
      </c>
      <c r="G180" s="13" t="s">
        <v>101</v>
      </c>
      <c r="H180" s="13" t="n">
        <v>1</v>
      </c>
      <c r="I180" s="15" t="n">
        <v>1100</v>
      </c>
      <c r="J180" s="13" t="s">
        <v>72</v>
      </c>
      <c r="K180" s="13" t="s">
        <v>58</v>
      </c>
      <c r="L180" s="13" t="s">
        <v>36</v>
      </c>
      <c r="M180" s="15" t="n">
        <f aca="false">IF(AND(ISNUMBER(H180),ISNUMBER(I180)),H180*I180,"")</f>
        <v>1100</v>
      </c>
    </row>
    <row r="181" customFormat="false" ht="15" hidden="false" customHeight="false" outlineLevel="0" collapsed="false">
      <c r="A181" s="13" t="n">
        <v>1015</v>
      </c>
      <c r="B181" s="14" t="n">
        <v>46177</v>
      </c>
      <c r="C181" s="13" t="s">
        <v>323</v>
      </c>
      <c r="D181" s="13" t="s">
        <v>68</v>
      </c>
      <c r="E181" s="13" t="s">
        <v>24</v>
      </c>
      <c r="F181" s="13" t="s">
        <v>96</v>
      </c>
      <c r="G181" s="13" t="s">
        <v>56</v>
      </c>
      <c r="H181" s="13" t="n">
        <v>3</v>
      </c>
      <c r="I181" s="15"/>
      <c r="J181" s="13" t="s">
        <v>51</v>
      </c>
      <c r="K181" s="13" t="s">
        <v>80</v>
      </c>
      <c r="L181" s="13" t="s">
        <v>34</v>
      </c>
      <c r="M181" s="15" t="str">
        <f aca="false">IF(AND(ISNUMBER(H181),ISNUMBER(I181)),H181*I181,"")</f>
        <v/>
      </c>
    </row>
    <row r="182" customFormat="false" ht="15" hidden="false" customHeight="false" outlineLevel="0" collapsed="false">
      <c r="A182" s="13" t="n">
        <v>1187</v>
      </c>
      <c r="B182" s="14" t="n">
        <v>46225</v>
      </c>
      <c r="C182" s="13" t="s">
        <v>372</v>
      </c>
      <c r="D182" s="13" t="s">
        <v>373</v>
      </c>
      <c r="E182" s="13" t="s">
        <v>26</v>
      </c>
      <c r="F182" s="13" t="s">
        <v>131</v>
      </c>
      <c r="G182" s="13" t="s">
        <v>56</v>
      </c>
      <c r="H182" s="13" t="n">
        <v>3</v>
      </c>
      <c r="I182" s="15" t="n">
        <v>180</v>
      </c>
      <c r="J182" s="13" t="s">
        <v>64</v>
      </c>
      <c r="K182" s="13" t="s">
        <v>80</v>
      </c>
      <c r="L182" s="13" t="s">
        <v>35</v>
      </c>
      <c r="M182" s="15" t="n">
        <f aca="false">IF(AND(ISNUMBER(H182),ISNUMBER(I182)),H182*I182,"")</f>
        <v>540</v>
      </c>
    </row>
    <row r="183" customFormat="false" ht="15" hidden="false" customHeight="false" outlineLevel="0" collapsed="false">
      <c r="A183" s="13" t="n">
        <v>1110</v>
      </c>
      <c r="B183" s="14" t="n">
        <v>46249</v>
      </c>
      <c r="C183" s="13" t="s">
        <v>374</v>
      </c>
      <c r="D183" s="13" t="s">
        <v>375</v>
      </c>
      <c r="E183" s="13" t="s">
        <v>26</v>
      </c>
      <c r="F183" s="13" t="s">
        <v>91</v>
      </c>
      <c r="G183" s="13" t="s">
        <v>71</v>
      </c>
      <c r="H183" s="13" t="n">
        <v>3</v>
      </c>
      <c r="I183" s="15" t="n">
        <v>300</v>
      </c>
      <c r="J183" s="13" t="s">
        <v>72</v>
      </c>
      <c r="K183" s="13" t="s">
        <v>52</v>
      </c>
      <c r="L183" s="13" t="s">
        <v>36</v>
      </c>
      <c r="M183" s="15" t="n">
        <f aca="false">IF(AND(ISNUMBER(H183),ISNUMBER(I183)),H183*I183,"")</f>
        <v>900</v>
      </c>
    </row>
    <row r="184" customFormat="false" ht="15" hidden="false" customHeight="false" outlineLevel="0" collapsed="false">
      <c r="A184" s="13" t="n">
        <v>1112</v>
      </c>
      <c r="B184" s="14" t="n">
        <v>46237</v>
      </c>
      <c r="C184" s="13" t="s">
        <v>233</v>
      </c>
      <c r="D184" s="13" t="s">
        <v>376</v>
      </c>
      <c r="E184" s="13" t="s">
        <v>24</v>
      </c>
      <c r="F184" s="13" t="s">
        <v>49</v>
      </c>
      <c r="G184" s="13" t="s">
        <v>50</v>
      </c>
      <c r="H184" s="13" t="n">
        <v>2</v>
      </c>
      <c r="I184" s="15" t="n">
        <v>120</v>
      </c>
      <c r="J184" s="13" t="s">
        <v>51</v>
      </c>
      <c r="K184" s="13" t="s">
        <v>58</v>
      </c>
      <c r="L184" s="13" t="s">
        <v>36</v>
      </c>
      <c r="M184" s="15" t="n">
        <f aca="false">IF(AND(ISNUMBER(H184),ISNUMBER(I184)),H184*I184,"")</f>
        <v>240</v>
      </c>
    </row>
    <row r="185" customFormat="false" ht="15" hidden="false" customHeight="false" outlineLevel="0" collapsed="false">
      <c r="A185" s="13" t="n">
        <v>1250</v>
      </c>
      <c r="B185" s="14" t="n">
        <v>46250</v>
      </c>
      <c r="C185" s="13" t="s">
        <v>206</v>
      </c>
      <c r="D185" s="13" t="s">
        <v>377</v>
      </c>
      <c r="E185" s="13" t="s">
        <v>24</v>
      </c>
      <c r="F185" s="13" t="s">
        <v>131</v>
      </c>
      <c r="G185" s="13" t="s">
        <v>56</v>
      </c>
      <c r="H185" s="13" t="n">
        <v>1</v>
      </c>
      <c r="I185" s="15" t="n">
        <v>180</v>
      </c>
      <c r="J185" s="13" t="s">
        <v>64</v>
      </c>
      <c r="K185" s="13" t="s">
        <v>52</v>
      </c>
      <c r="L185" s="13" t="s">
        <v>36</v>
      </c>
      <c r="M185" s="15" t="n">
        <f aca="false">IF(AND(ISNUMBER(H185),ISNUMBER(I185)),H185*I185,"")</f>
        <v>180</v>
      </c>
    </row>
    <row r="186" customFormat="false" ht="15" hidden="false" customHeight="false" outlineLevel="0" collapsed="false">
      <c r="A186" s="13" t="n">
        <v>1088</v>
      </c>
      <c r="B186" s="14" t="n">
        <v>46213</v>
      </c>
      <c r="C186" s="13" t="s">
        <v>184</v>
      </c>
      <c r="D186" s="13" t="s">
        <v>378</v>
      </c>
      <c r="E186" s="13" t="s">
        <v>26</v>
      </c>
      <c r="F186" s="13" t="s">
        <v>18</v>
      </c>
      <c r="G186" s="13" t="s">
        <v>63</v>
      </c>
      <c r="H186" s="13" t="n">
        <v>1</v>
      </c>
      <c r="I186" s="15" t="n">
        <v>950</v>
      </c>
      <c r="J186" s="13" t="s">
        <v>72</v>
      </c>
      <c r="K186" s="13" t="s">
        <v>58</v>
      </c>
      <c r="L186" s="13" t="s">
        <v>35</v>
      </c>
      <c r="M186" s="15" t="n">
        <f aca="false">IF(AND(ISNUMBER(H186),ISNUMBER(I186)),H186*I186,"")</f>
        <v>950</v>
      </c>
    </row>
    <row r="187" customFormat="false" ht="15" hidden="false" customHeight="false" outlineLevel="0" collapsed="false">
      <c r="A187" s="13" t="n">
        <v>1384</v>
      </c>
      <c r="B187" s="14" t="n">
        <v>46201</v>
      </c>
      <c r="C187" s="13" t="s">
        <v>379</v>
      </c>
      <c r="D187" s="13" t="s">
        <v>380</v>
      </c>
      <c r="E187" s="13" t="s">
        <v>29</v>
      </c>
      <c r="F187" s="13" t="s">
        <v>131</v>
      </c>
      <c r="G187" s="13" t="s">
        <v>56</v>
      </c>
      <c r="H187" s="13" t="n">
        <v>3</v>
      </c>
      <c r="I187" s="15" t="n">
        <v>180</v>
      </c>
      <c r="J187" s="13" t="s">
        <v>57</v>
      </c>
      <c r="K187" s="13" t="s">
        <v>52</v>
      </c>
      <c r="L187" s="13" t="s">
        <v>34</v>
      </c>
      <c r="M187" s="15" t="n">
        <f aca="false">IF(AND(ISNUMBER(H187),ISNUMBER(I187)),H187*I187,"")</f>
        <v>540</v>
      </c>
    </row>
    <row r="188" customFormat="false" ht="15" hidden="false" customHeight="false" outlineLevel="0" collapsed="false">
      <c r="A188" s="13" t="n">
        <v>1404</v>
      </c>
      <c r="B188" s="14" t="n">
        <v>46225</v>
      </c>
      <c r="C188" s="13" t="s">
        <v>381</v>
      </c>
      <c r="D188" s="13" t="s">
        <v>382</v>
      </c>
      <c r="E188" s="13" t="s">
        <v>24</v>
      </c>
      <c r="F188" s="13" t="s">
        <v>16</v>
      </c>
      <c r="G188" s="13" t="s">
        <v>101</v>
      </c>
      <c r="H188" s="13" t="n">
        <v>3</v>
      </c>
      <c r="I188" s="15" t="n">
        <v>1100</v>
      </c>
      <c r="J188" s="13" t="s">
        <v>64</v>
      </c>
      <c r="K188" s="13" t="s">
        <v>58</v>
      </c>
      <c r="L188" s="13" t="s">
        <v>35</v>
      </c>
      <c r="M188" s="15" t="n">
        <f aca="false">IF(AND(ISNUMBER(H188),ISNUMBER(I188)),H188*I188,"")</f>
        <v>3300</v>
      </c>
    </row>
    <row r="189" customFormat="false" ht="15" hidden="false" customHeight="false" outlineLevel="0" collapsed="false">
      <c r="A189" s="13" t="n">
        <v>1152</v>
      </c>
      <c r="B189" s="14" t="n">
        <v>46195</v>
      </c>
      <c r="C189" s="13" t="s">
        <v>383</v>
      </c>
      <c r="D189" s="13" t="s">
        <v>384</v>
      </c>
      <c r="E189" s="13" t="s">
        <v>26</v>
      </c>
      <c r="F189" s="13" t="s">
        <v>131</v>
      </c>
      <c r="G189" s="13" t="s">
        <v>56</v>
      </c>
      <c r="H189" s="13" t="n">
        <v>1</v>
      </c>
      <c r="I189" s="15" t="n">
        <v>180</v>
      </c>
      <c r="J189" s="13" t="s">
        <v>57</v>
      </c>
      <c r="K189" s="13" t="s">
        <v>58</v>
      </c>
      <c r="L189" s="13" t="s">
        <v>34</v>
      </c>
      <c r="M189" s="15" t="n">
        <f aca="false">IF(AND(ISNUMBER(H189),ISNUMBER(I189)),H189*I189,"")</f>
        <v>180</v>
      </c>
    </row>
    <row r="190" customFormat="false" ht="15" hidden="false" customHeight="false" outlineLevel="0" collapsed="false">
      <c r="A190" s="13" t="n">
        <v>1437</v>
      </c>
      <c r="B190" s="14" t="n">
        <v>46187</v>
      </c>
      <c r="C190" s="13" t="s">
        <v>385</v>
      </c>
      <c r="D190" s="13" t="s">
        <v>386</v>
      </c>
      <c r="E190" s="13" t="s">
        <v>26</v>
      </c>
      <c r="F190" s="13" t="s">
        <v>17</v>
      </c>
      <c r="G190" s="13" t="s">
        <v>86</v>
      </c>
      <c r="H190" s="13" t="n">
        <v>3</v>
      </c>
      <c r="I190" s="15" t="n">
        <v>900</v>
      </c>
      <c r="J190" s="13" t="s">
        <v>72</v>
      </c>
      <c r="K190" s="13" t="s">
        <v>58</v>
      </c>
      <c r="L190" s="13" t="s">
        <v>34</v>
      </c>
      <c r="M190" s="15" t="n">
        <f aca="false">IF(AND(ISNUMBER(H190),ISNUMBER(I190)),H190*I190,"")</f>
        <v>2700</v>
      </c>
    </row>
    <row r="191" customFormat="false" ht="15" hidden="false" customHeight="false" outlineLevel="0" collapsed="false">
      <c r="A191" s="13" t="n">
        <v>1068</v>
      </c>
      <c r="B191" s="14" t="n">
        <v>46187</v>
      </c>
      <c r="C191" s="13" t="s">
        <v>387</v>
      </c>
      <c r="D191" s="13" t="s">
        <v>388</v>
      </c>
      <c r="E191" s="13" t="s">
        <v>25</v>
      </c>
      <c r="F191" s="13" t="s">
        <v>18</v>
      </c>
      <c r="G191" s="13" t="s">
        <v>63</v>
      </c>
      <c r="H191" s="13" t="n">
        <v>1</v>
      </c>
      <c r="I191" s="15" t="n">
        <v>950</v>
      </c>
      <c r="J191" s="13" t="s">
        <v>64</v>
      </c>
      <c r="K191" s="13" t="s">
        <v>58</v>
      </c>
      <c r="L191" s="13" t="s">
        <v>34</v>
      </c>
      <c r="M191" s="15" t="n">
        <f aca="false">IF(AND(ISNUMBER(H191),ISNUMBER(I191)),H191*I191,"")</f>
        <v>950</v>
      </c>
    </row>
    <row r="192" customFormat="false" ht="15" hidden="false" customHeight="false" outlineLevel="0" collapsed="false">
      <c r="A192" s="13" t="n">
        <v>1087</v>
      </c>
      <c r="B192" s="14" t="n">
        <v>46264</v>
      </c>
      <c r="C192" s="13" t="s">
        <v>323</v>
      </c>
      <c r="D192" s="13" t="s">
        <v>389</v>
      </c>
      <c r="E192" s="13" t="s">
        <v>25</v>
      </c>
      <c r="F192" s="13" t="s">
        <v>18</v>
      </c>
      <c r="G192" s="13" t="s">
        <v>63</v>
      </c>
      <c r="H192" s="13" t="n">
        <v>1</v>
      </c>
      <c r="I192" s="15" t="n">
        <v>950</v>
      </c>
      <c r="J192" s="13" t="s">
        <v>64</v>
      </c>
      <c r="K192" s="13" t="s">
        <v>75</v>
      </c>
      <c r="L192" s="13" t="s">
        <v>36</v>
      </c>
      <c r="M192" s="15" t="n">
        <f aca="false">IF(AND(ISNUMBER(H192),ISNUMBER(I192)),H192*I192,"")</f>
        <v>950</v>
      </c>
    </row>
    <row r="193" customFormat="false" ht="15" hidden="false" customHeight="false" outlineLevel="0" collapsed="false">
      <c r="A193" s="13" t="n">
        <v>1325</v>
      </c>
      <c r="B193" s="14" t="n">
        <v>46213</v>
      </c>
      <c r="C193" s="13" t="s">
        <v>148</v>
      </c>
      <c r="D193" s="13" t="s">
        <v>390</v>
      </c>
      <c r="E193" s="13" t="s">
        <v>24</v>
      </c>
      <c r="F193" s="13" t="s">
        <v>19</v>
      </c>
      <c r="G193" s="13" t="s">
        <v>86</v>
      </c>
      <c r="H193" s="13" t="n">
        <v>1</v>
      </c>
      <c r="I193" s="15" t="n">
        <v>750</v>
      </c>
      <c r="J193" s="13" t="s">
        <v>57</v>
      </c>
      <c r="K193" s="13" t="s">
        <v>58</v>
      </c>
      <c r="L193" s="13" t="s">
        <v>35</v>
      </c>
      <c r="M193" s="15" t="n">
        <f aca="false">IF(AND(ISNUMBER(H193),ISNUMBER(I193)),H193*I193,"")</f>
        <v>750</v>
      </c>
    </row>
    <row r="194" customFormat="false" ht="15" hidden="false" customHeight="false" outlineLevel="0" collapsed="false">
      <c r="A194" s="13" t="n">
        <v>1339</v>
      </c>
      <c r="B194" s="14" t="n">
        <v>46217</v>
      </c>
      <c r="C194" s="13" t="s">
        <v>110</v>
      </c>
      <c r="D194" s="13" t="s">
        <v>391</v>
      </c>
      <c r="E194" s="13" t="s">
        <v>26</v>
      </c>
      <c r="F194" s="13" t="s">
        <v>49</v>
      </c>
      <c r="G194" s="13" t="s">
        <v>50</v>
      </c>
      <c r="H194" s="13" t="n">
        <v>2</v>
      </c>
      <c r="I194" s="15" t="n">
        <v>120</v>
      </c>
      <c r="J194" s="13" t="s">
        <v>51</v>
      </c>
      <c r="K194" s="13" t="s">
        <v>58</v>
      </c>
      <c r="L194" s="13" t="s">
        <v>35</v>
      </c>
      <c r="M194" s="15" t="n">
        <f aca="false">IF(AND(ISNUMBER(H194),ISNUMBER(I194)),H194*I194,"")</f>
        <v>240</v>
      </c>
    </row>
    <row r="195" customFormat="false" ht="15" hidden="false" customHeight="false" outlineLevel="0" collapsed="false">
      <c r="A195" s="13" t="n">
        <v>1007</v>
      </c>
      <c r="B195" s="14" t="n">
        <v>46251</v>
      </c>
      <c r="C195" s="13" t="s">
        <v>134</v>
      </c>
      <c r="D195" s="13" t="s">
        <v>392</v>
      </c>
      <c r="E195" s="13" t="s">
        <v>30</v>
      </c>
      <c r="F195" s="13" t="s">
        <v>91</v>
      </c>
      <c r="G195" s="13" t="s">
        <v>71</v>
      </c>
      <c r="H195" s="13" t="n">
        <v>1</v>
      </c>
      <c r="I195" s="15" t="n">
        <v>300</v>
      </c>
      <c r="J195" s="13" t="s">
        <v>64</v>
      </c>
      <c r="K195" s="13" t="s">
        <v>58</v>
      </c>
      <c r="L195" s="13" t="s">
        <v>36</v>
      </c>
      <c r="M195" s="15" t="n">
        <f aca="false">IF(AND(ISNUMBER(H195),ISNUMBER(I195)),H195*I195,"")</f>
        <v>300</v>
      </c>
    </row>
    <row r="196" customFormat="false" ht="15" hidden="false" customHeight="false" outlineLevel="0" collapsed="false">
      <c r="A196" s="13" t="n">
        <v>1090</v>
      </c>
      <c r="B196" s="14" t="n">
        <v>46205</v>
      </c>
      <c r="C196" s="13" t="s">
        <v>393</v>
      </c>
      <c r="D196" s="13" t="s">
        <v>394</v>
      </c>
      <c r="E196" s="13" t="s">
        <v>25</v>
      </c>
      <c r="F196" s="13" t="s">
        <v>19</v>
      </c>
      <c r="G196" s="13" t="s">
        <v>86</v>
      </c>
      <c r="H196" s="13" t="n">
        <v>2</v>
      </c>
      <c r="I196" s="15" t="n">
        <v>750</v>
      </c>
      <c r="J196" s="13" t="s">
        <v>64</v>
      </c>
      <c r="K196" s="13" t="s">
        <v>75</v>
      </c>
      <c r="L196" s="13" t="s">
        <v>35</v>
      </c>
      <c r="M196" s="15" t="n">
        <f aca="false">IF(AND(ISNUMBER(H196),ISNUMBER(I196)),H196*I196,"")</f>
        <v>1500</v>
      </c>
    </row>
    <row r="197" customFormat="false" ht="15" hidden="false" customHeight="false" outlineLevel="0" collapsed="false">
      <c r="A197" s="13" t="n">
        <v>1241</v>
      </c>
      <c r="B197" s="14" t="n">
        <v>46218</v>
      </c>
      <c r="C197" s="13" t="s">
        <v>395</v>
      </c>
      <c r="D197" s="13" t="s">
        <v>396</v>
      </c>
      <c r="E197" s="13" t="s">
        <v>28</v>
      </c>
      <c r="F197" s="13" t="s">
        <v>19</v>
      </c>
      <c r="G197" s="13" t="s">
        <v>86</v>
      </c>
      <c r="H197" s="13" t="n">
        <v>2</v>
      </c>
      <c r="I197" s="15" t="n">
        <v>750</v>
      </c>
      <c r="J197" s="13" t="s">
        <v>64</v>
      </c>
      <c r="K197" s="13" t="s">
        <v>80</v>
      </c>
      <c r="L197" s="13" t="s">
        <v>35</v>
      </c>
      <c r="M197" s="15" t="n">
        <f aca="false">IF(AND(ISNUMBER(H197),ISNUMBER(I197)),H197*I197,"")</f>
        <v>1500</v>
      </c>
    </row>
    <row r="198" customFormat="false" ht="15" hidden="false" customHeight="false" outlineLevel="0" collapsed="false">
      <c r="A198" s="13" t="n">
        <v>1447</v>
      </c>
      <c r="B198" s="14" t="n">
        <v>46209</v>
      </c>
      <c r="C198" s="13" t="s">
        <v>397</v>
      </c>
      <c r="D198" s="13" t="s">
        <v>398</v>
      </c>
      <c r="E198" s="13" t="s">
        <v>28</v>
      </c>
      <c r="F198" s="13" t="s">
        <v>49</v>
      </c>
      <c r="G198" s="13" t="s">
        <v>50</v>
      </c>
      <c r="H198" s="13" t="n">
        <v>1</v>
      </c>
      <c r="I198" s="15" t="n">
        <v>120</v>
      </c>
      <c r="J198" s="13" t="s">
        <v>64</v>
      </c>
      <c r="K198" s="13" t="s">
        <v>58</v>
      </c>
      <c r="L198" s="13" t="s">
        <v>35</v>
      </c>
      <c r="M198" s="15" t="n">
        <f aca="false">IF(AND(ISNUMBER(H198),ISNUMBER(I198)),H198*I198,"")</f>
        <v>120</v>
      </c>
    </row>
    <row r="199" customFormat="false" ht="15" hidden="false" customHeight="false" outlineLevel="0" collapsed="false">
      <c r="A199" s="13" t="n">
        <v>1235</v>
      </c>
      <c r="B199" s="14" t="n">
        <v>46213</v>
      </c>
      <c r="C199" s="13" t="s">
        <v>399</v>
      </c>
      <c r="D199" s="13" t="s">
        <v>400</v>
      </c>
      <c r="E199" s="13" t="s">
        <v>26</v>
      </c>
      <c r="F199" s="13" t="s">
        <v>55</v>
      </c>
      <c r="G199" s="13" t="s">
        <v>56</v>
      </c>
      <c r="H199" s="13" t="n">
        <v>2</v>
      </c>
      <c r="I199" s="15"/>
      <c r="J199" s="13" t="s">
        <v>72</v>
      </c>
      <c r="K199" s="13" t="s">
        <v>75</v>
      </c>
      <c r="L199" s="13" t="s">
        <v>35</v>
      </c>
      <c r="M199" s="15" t="str">
        <f aca="false">IF(AND(ISNUMBER(H199),ISNUMBER(I199)),H199*I199,"")</f>
        <v/>
      </c>
    </row>
    <row r="200" customFormat="false" ht="15" hidden="false" customHeight="false" outlineLevel="0" collapsed="false">
      <c r="A200" s="13" t="n">
        <v>1079</v>
      </c>
      <c r="B200" s="14" t="n">
        <v>46257</v>
      </c>
      <c r="C200" s="13" t="s">
        <v>274</v>
      </c>
      <c r="D200" s="13" t="s">
        <v>401</v>
      </c>
      <c r="E200" s="13"/>
      <c r="F200" s="13" t="s">
        <v>131</v>
      </c>
      <c r="G200" s="13" t="s">
        <v>56</v>
      </c>
      <c r="H200" s="13" t="n">
        <v>1</v>
      </c>
      <c r="I200" s="15" t="n">
        <v>180</v>
      </c>
      <c r="J200" s="13" t="s">
        <v>64</v>
      </c>
      <c r="K200" s="13" t="s">
        <v>58</v>
      </c>
      <c r="L200" s="13" t="s">
        <v>36</v>
      </c>
      <c r="M200" s="15" t="n">
        <f aca="false">IF(AND(ISNUMBER(H200),ISNUMBER(I200)),H200*I200,"")</f>
        <v>180</v>
      </c>
    </row>
    <row r="201" customFormat="false" ht="15" hidden="false" customHeight="false" outlineLevel="0" collapsed="false">
      <c r="A201" s="13" t="n">
        <v>1409</v>
      </c>
      <c r="B201" s="14" t="n">
        <v>46265</v>
      </c>
      <c r="C201" s="13" t="s">
        <v>159</v>
      </c>
      <c r="D201" s="13" t="s">
        <v>402</v>
      </c>
      <c r="E201" s="13" t="s">
        <v>25</v>
      </c>
      <c r="F201" s="13" t="s">
        <v>19</v>
      </c>
      <c r="G201" s="13" t="s">
        <v>86</v>
      </c>
      <c r="H201" s="13" t="n">
        <v>1</v>
      </c>
      <c r="I201" s="15" t="n">
        <v>750</v>
      </c>
      <c r="J201" s="13" t="s">
        <v>64</v>
      </c>
      <c r="K201" s="13" t="s">
        <v>58</v>
      </c>
      <c r="L201" s="13" t="s">
        <v>36</v>
      </c>
      <c r="M201" s="15" t="n">
        <f aca="false">IF(AND(ISNUMBER(H201),ISNUMBER(I201)),H201*I201,"")</f>
        <v>750</v>
      </c>
    </row>
    <row r="202" customFormat="false" ht="15" hidden="false" customHeight="false" outlineLevel="0" collapsed="false">
      <c r="A202" s="13" t="n">
        <v>1381</v>
      </c>
      <c r="B202" s="14" t="n">
        <v>46247</v>
      </c>
      <c r="C202" s="13" t="s">
        <v>403</v>
      </c>
      <c r="D202" s="13" t="s">
        <v>404</v>
      </c>
      <c r="E202" s="13" t="s">
        <v>25</v>
      </c>
      <c r="F202" s="13" t="s">
        <v>20</v>
      </c>
      <c r="G202" s="13" t="s">
        <v>71</v>
      </c>
      <c r="H202" s="13" t="n">
        <v>1</v>
      </c>
      <c r="I202" s="15" t="n">
        <v>550</v>
      </c>
      <c r="J202" s="13" t="s">
        <v>72</v>
      </c>
      <c r="K202" s="13" t="s">
        <v>58</v>
      </c>
      <c r="L202" s="13" t="s">
        <v>36</v>
      </c>
      <c r="M202" s="15" t="n">
        <f aca="false">IF(AND(ISNUMBER(H202),ISNUMBER(I202)),H202*I202,"")</f>
        <v>550</v>
      </c>
    </row>
    <row r="203" customFormat="false" ht="15" hidden="false" customHeight="false" outlineLevel="0" collapsed="false">
      <c r="A203" s="13" t="n">
        <v>1269</v>
      </c>
      <c r="B203" s="14" t="n">
        <v>46180</v>
      </c>
      <c r="C203" s="13" t="s">
        <v>405</v>
      </c>
      <c r="D203" s="13" t="s">
        <v>406</v>
      </c>
      <c r="E203" s="13" t="s">
        <v>24</v>
      </c>
      <c r="F203" s="13" t="s">
        <v>17</v>
      </c>
      <c r="G203" s="13" t="s">
        <v>86</v>
      </c>
      <c r="H203" s="13" t="n">
        <v>4</v>
      </c>
      <c r="I203" s="15" t="n">
        <v>900</v>
      </c>
      <c r="J203" s="13" t="s">
        <v>51</v>
      </c>
      <c r="K203" s="13" t="s">
        <v>58</v>
      </c>
      <c r="L203" s="13" t="s">
        <v>34</v>
      </c>
      <c r="M203" s="15" t="n">
        <f aca="false">IF(AND(ISNUMBER(H203),ISNUMBER(I203)),H203*I203,"")</f>
        <v>3600</v>
      </c>
    </row>
    <row r="204" customFormat="false" ht="15" hidden="false" customHeight="false" outlineLevel="0" collapsed="false">
      <c r="A204" s="13" t="n">
        <v>1111</v>
      </c>
      <c r="B204" s="14" t="n">
        <v>46219</v>
      </c>
      <c r="C204" s="13" t="s">
        <v>407</v>
      </c>
      <c r="D204" s="13" t="s">
        <v>408</v>
      </c>
      <c r="E204" s="13" t="s">
        <v>24</v>
      </c>
      <c r="F204" s="13" t="s">
        <v>49</v>
      </c>
      <c r="G204" s="13" t="s">
        <v>50</v>
      </c>
      <c r="H204" s="13" t="n">
        <v>1</v>
      </c>
      <c r="I204" s="15" t="n">
        <v>120</v>
      </c>
      <c r="J204" s="13" t="s">
        <v>64</v>
      </c>
      <c r="K204" s="13" t="s">
        <v>80</v>
      </c>
      <c r="L204" s="13" t="s">
        <v>35</v>
      </c>
      <c r="M204" s="15" t="n">
        <f aca="false">IF(AND(ISNUMBER(H204),ISNUMBER(I204)),H204*I204,"")</f>
        <v>120</v>
      </c>
    </row>
    <row r="205" customFormat="false" ht="15" hidden="false" customHeight="false" outlineLevel="0" collapsed="false">
      <c r="A205" s="13" t="n">
        <v>1369</v>
      </c>
      <c r="B205" s="14" t="n">
        <v>46177</v>
      </c>
      <c r="C205" s="13" t="s">
        <v>141</v>
      </c>
      <c r="D205" s="13" t="s">
        <v>409</v>
      </c>
      <c r="E205" s="13" t="s">
        <v>24</v>
      </c>
      <c r="F205" s="13" t="s">
        <v>91</v>
      </c>
      <c r="G205" s="13" t="s">
        <v>71</v>
      </c>
      <c r="H205" s="13" t="n">
        <v>1</v>
      </c>
      <c r="I205" s="15" t="n">
        <v>300</v>
      </c>
      <c r="J205" s="13" t="s">
        <v>57</v>
      </c>
      <c r="K205" s="13" t="s">
        <v>75</v>
      </c>
      <c r="L205" s="13" t="s">
        <v>34</v>
      </c>
      <c r="M205" s="15" t="n">
        <f aca="false">IF(AND(ISNUMBER(H205),ISNUMBER(I205)),H205*I205,"")</f>
        <v>300</v>
      </c>
    </row>
    <row r="206" customFormat="false" ht="15" hidden="false" customHeight="false" outlineLevel="0" collapsed="false">
      <c r="A206" s="13" t="n">
        <v>1356</v>
      </c>
      <c r="B206" s="14" t="n">
        <v>46175</v>
      </c>
      <c r="C206" s="13" t="s">
        <v>410</v>
      </c>
      <c r="D206" s="13" t="s">
        <v>411</v>
      </c>
      <c r="E206" s="13" t="s">
        <v>25</v>
      </c>
      <c r="F206" s="13" t="s">
        <v>96</v>
      </c>
      <c r="G206" s="13" t="s">
        <v>56</v>
      </c>
      <c r="H206" s="13" t="n">
        <v>1</v>
      </c>
      <c r="I206" s="15" t="n">
        <v>320</v>
      </c>
      <c r="J206" s="13" t="s">
        <v>64</v>
      </c>
      <c r="K206" s="13" t="s">
        <v>58</v>
      </c>
      <c r="L206" s="13" t="s">
        <v>34</v>
      </c>
      <c r="M206" s="15" t="n">
        <f aca="false">IF(AND(ISNUMBER(H206),ISNUMBER(I206)),H206*I206,"")</f>
        <v>320</v>
      </c>
    </row>
    <row r="207" customFormat="false" ht="15" hidden="false" customHeight="false" outlineLevel="0" collapsed="false">
      <c r="A207" s="13" t="n">
        <v>1220</v>
      </c>
      <c r="B207" s="14" t="n">
        <v>46228</v>
      </c>
      <c r="C207" s="13" t="s">
        <v>412</v>
      </c>
      <c r="D207" s="13" t="s">
        <v>413</v>
      </c>
      <c r="E207" s="13" t="s">
        <v>27</v>
      </c>
      <c r="F207" s="13" t="s">
        <v>20</v>
      </c>
      <c r="G207" s="13" t="s">
        <v>71</v>
      </c>
      <c r="H207" s="13" t="n">
        <v>1</v>
      </c>
      <c r="I207" s="15" t="n">
        <v>550</v>
      </c>
      <c r="J207" s="13" t="s">
        <v>57</v>
      </c>
      <c r="K207" s="13" t="s">
        <v>80</v>
      </c>
      <c r="L207" s="13" t="s">
        <v>35</v>
      </c>
      <c r="M207" s="15" t="n">
        <f aca="false">IF(AND(ISNUMBER(H207),ISNUMBER(I207)),H207*I207,"")</f>
        <v>550</v>
      </c>
    </row>
    <row r="208" customFormat="false" ht="15" hidden="false" customHeight="false" outlineLevel="0" collapsed="false">
      <c r="A208" s="13" t="n">
        <v>1053</v>
      </c>
      <c r="B208" s="14" t="n">
        <v>46230</v>
      </c>
      <c r="C208" s="13" t="s">
        <v>414</v>
      </c>
      <c r="D208" s="13" t="s">
        <v>415</v>
      </c>
      <c r="E208" s="13" t="s">
        <v>24</v>
      </c>
      <c r="F208" s="13" t="s">
        <v>19</v>
      </c>
      <c r="G208" s="13" t="s">
        <v>86</v>
      </c>
      <c r="H208" s="13" t="n">
        <v>1</v>
      </c>
      <c r="I208" s="15" t="n">
        <v>750</v>
      </c>
      <c r="J208" s="13" t="s">
        <v>64</v>
      </c>
      <c r="K208" s="13" t="s">
        <v>58</v>
      </c>
      <c r="L208" s="13" t="s">
        <v>35</v>
      </c>
      <c r="M208" s="15" t="n">
        <f aca="false">IF(AND(ISNUMBER(H208),ISNUMBER(I208)),H208*I208,"")</f>
        <v>750</v>
      </c>
    </row>
    <row r="209" customFormat="false" ht="15" hidden="false" customHeight="false" outlineLevel="0" collapsed="false">
      <c r="A209" s="13" t="n">
        <v>1058</v>
      </c>
      <c r="B209" s="14" t="n">
        <v>46217</v>
      </c>
      <c r="C209" s="13" t="s">
        <v>416</v>
      </c>
      <c r="D209" s="13" t="s">
        <v>417</v>
      </c>
      <c r="E209" s="13" t="s">
        <v>25</v>
      </c>
      <c r="F209" s="13" t="s">
        <v>16</v>
      </c>
      <c r="G209" s="13" t="s">
        <v>101</v>
      </c>
      <c r="H209" s="13" t="n">
        <v>1</v>
      </c>
      <c r="I209" s="15" t="n">
        <v>1100</v>
      </c>
      <c r="J209" s="13" t="s">
        <v>57</v>
      </c>
      <c r="K209" s="13" t="s">
        <v>52</v>
      </c>
      <c r="L209" s="13" t="s">
        <v>35</v>
      </c>
      <c r="M209" s="15" t="n">
        <f aca="false">IF(AND(ISNUMBER(H209),ISNUMBER(I209)),H209*I209,"")</f>
        <v>1100</v>
      </c>
    </row>
    <row r="210" customFormat="false" ht="15" hidden="false" customHeight="false" outlineLevel="0" collapsed="false">
      <c r="A210" s="13" t="n">
        <v>1114</v>
      </c>
      <c r="B210" s="14" t="n">
        <v>46190</v>
      </c>
      <c r="C210" s="13" t="s">
        <v>282</v>
      </c>
      <c r="D210" s="13" t="s">
        <v>418</v>
      </c>
      <c r="E210" s="13" t="s">
        <v>27</v>
      </c>
      <c r="F210" s="13" t="s">
        <v>131</v>
      </c>
      <c r="G210" s="13" t="s">
        <v>56</v>
      </c>
      <c r="H210" s="13" t="n">
        <v>3</v>
      </c>
      <c r="I210" s="15" t="n">
        <v>180</v>
      </c>
      <c r="J210" s="13" t="s">
        <v>64</v>
      </c>
      <c r="K210" s="13" t="s">
        <v>58</v>
      </c>
      <c r="L210" s="13" t="s">
        <v>34</v>
      </c>
      <c r="M210" s="15" t="n">
        <f aca="false">IF(AND(ISNUMBER(H210),ISNUMBER(I210)),H210*I210,"")</f>
        <v>540</v>
      </c>
    </row>
    <row r="211" customFormat="false" ht="15" hidden="false" customHeight="false" outlineLevel="0" collapsed="false">
      <c r="A211" s="13" t="n">
        <v>1441</v>
      </c>
      <c r="B211" s="14" t="n">
        <v>46204</v>
      </c>
      <c r="C211" s="13" t="s">
        <v>138</v>
      </c>
      <c r="D211" s="13" t="s">
        <v>419</v>
      </c>
      <c r="E211" s="13" t="s">
        <v>30</v>
      </c>
      <c r="F211" s="13" t="s">
        <v>55</v>
      </c>
      <c r="G211" s="13" t="s">
        <v>56</v>
      </c>
      <c r="H211" s="13" t="n">
        <v>2</v>
      </c>
      <c r="I211" s="15" t="n">
        <v>450</v>
      </c>
      <c r="J211" s="13" t="s">
        <v>72</v>
      </c>
      <c r="K211" s="13" t="s">
        <v>58</v>
      </c>
      <c r="L211" s="13" t="s">
        <v>35</v>
      </c>
      <c r="M211" s="15" t="n">
        <f aca="false">IF(AND(ISNUMBER(H211),ISNUMBER(I211)),H211*I211,"")</f>
        <v>900</v>
      </c>
    </row>
    <row r="212" customFormat="false" ht="15" hidden="false" customHeight="false" outlineLevel="0" collapsed="false">
      <c r="A212" s="13" t="n">
        <v>1005</v>
      </c>
      <c r="B212" s="14" t="n">
        <v>46233</v>
      </c>
      <c r="C212" s="13" t="s">
        <v>119</v>
      </c>
      <c r="D212" s="13" t="s">
        <v>420</v>
      </c>
      <c r="E212" s="13" t="s">
        <v>27</v>
      </c>
      <c r="F212" s="13" t="s">
        <v>19</v>
      </c>
      <c r="G212" s="13" t="s">
        <v>86</v>
      </c>
      <c r="H212" s="13" t="n">
        <v>1</v>
      </c>
      <c r="I212" s="15" t="n">
        <v>750</v>
      </c>
      <c r="J212" s="13" t="s">
        <v>51</v>
      </c>
      <c r="K212" s="13" t="s">
        <v>75</v>
      </c>
      <c r="L212" s="13" t="s">
        <v>35</v>
      </c>
      <c r="M212" s="15" t="n">
        <f aca="false">IF(AND(ISNUMBER(H212),ISNUMBER(I212)),H212*I212,"")</f>
        <v>750</v>
      </c>
    </row>
    <row r="213" customFormat="false" ht="15" hidden="false" customHeight="false" outlineLevel="0" collapsed="false">
      <c r="A213" s="13" t="n">
        <v>1127</v>
      </c>
      <c r="B213" s="14" t="n">
        <v>46246</v>
      </c>
      <c r="C213" s="13" t="s">
        <v>421</v>
      </c>
      <c r="D213" s="13" t="s">
        <v>422</v>
      </c>
      <c r="E213" s="13"/>
      <c r="F213" s="13" t="s">
        <v>19</v>
      </c>
      <c r="G213" s="13" t="s">
        <v>86</v>
      </c>
      <c r="H213" s="13" t="n">
        <v>1</v>
      </c>
      <c r="I213" s="15" t="n">
        <v>750</v>
      </c>
      <c r="J213" s="13" t="s">
        <v>64</v>
      </c>
      <c r="K213" s="13" t="s">
        <v>58</v>
      </c>
      <c r="L213" s="13" t="s">
        <v>36</v>
      </c>
      <c r="M213" s="15" t="n">
        <f aca="false">IF(AND(ISNUMBER(H213),ISNUMBER(I213)),H213*I213,"")</f>
        <v>750</v>
      </c>
    </row>
    <row r="214" customFormat="false" ht="15" hidden="false" customHeight="false" outlineLevel="0" collapsed="false">
      <c r="A214" s="13" t="n">
        <v>1231</v>
      </c>
      <c r="B214" s="14" t="n">
        <v>46206</v>
      </c>
      <c r="C214" s="13" t="s">
        <v>61</v>
      </c>
      <c r="D214" s="13" t="s">
        <v>423</v>
      </c>
      <c r="E214" s="13" t="s">
        <v>24</v>
      </c>
      <c r="F214" s="13" t="s">
        <v>20</v>
      </c>
      <c r="G214" s="13" t="s">
        <v>71</v>
      </c>
      <c r="H214" s="13" t="n">
        <v>2</v>
      </c>
      <c r="I214" s="15" t="n">
        <v>550</v>
      </c>
      <c r="J214" s="13" t="s">
        <v>57</v>
      </c>
      <c r="K214" s="13" t="s">
        <v>52</v>
      </c>
      <c r="L214" s="13" t="s">
        <v>35</v>
      </c>
      <c r="M214" s="15" t="n">
        <f aca="false">IF(AND(ISNUMBER(H214),ISNUMBER(I214)),H214*I214,"")</f>
        <v>1100</v>
      </c>
    </row>
    <row r="215" customFormat="false" ht="15" hidden="false" customHeight="false" outlineLevel="0" collapsed="false">
      <c r="A215" s="13" t="n">
        <v>1414</v>
      </c>
      <c r="B215" s="14" t="n">
        <v>46214</v>
      </c>
      <c r="C215" s="13" t="s">
        <v>424</v>
      </c>
      <c r="D215" s="13" t="s">
        <v>425</v>
      </c>
      <c r="E215" s="13" t="s">
        <v>25</v>
      </c>
      <c r="F215" s="13" t="s">
        <v>16</v>
      </c>
      <c r="G215" s="13" t="s">
        <v>101</v>
      </c>
      <c r="H215" s="13" t="n">
        <v>1</v>
      </c>
      <c r="I215" s="15" t="n">
        <v>1100</v>
      </c>
      <c r="J215" s="13" t="s">
        <v>57</v>
      </c>
      <c r="K215" s="13" t="s">
        <v>52</v>
      </c>
      <c r="L215" s="13" t="s">
        <v>35</v>
      </c>
      <c r="M215" s="15" t="n">
        <f aca="false">IF(AND(ISNUMBER(H215),ISNUMBER(I215)),H215*I215,"")</f>
        <v>1100</v>
      </c>
    </row>
    <row r="216" customFormat="false" ht="15" hidden="false" customHeight="false" outlineLevel="0" collapsed="false">
      <c r="A216" s="13" t="n">
        <v>1322</v>
      </c>
      <c r="B216" s="14" t="n">
        <v>46254</v>
      </c>
      <c r="C216" s="13" t="s">
        <v>426</v>
      </c>
      <c r="D216" s="13" t="s">
        <v>427</v>
      </c>
      <c r="E216" s="13" t="s">
        <v>24</v>
      </c>
      <c r="F216" s="13" t="s">
        <v>49</v>
      </c>
      <c r="G216" s="13" t="s">
        <v>50</v>
      </c>
      <c r="H216" s="13" t="n">
        <v>1</v>
      </c>
      <c r="I216" s="15" t="n">
        <v>120</v>
      </c>
      <c r="J216" s="13" t="s">
        <v>57</v>
      </c>
      <c r="K216" s="13" t="s">
        <v>58</v>
      </c>
      <c r="L216" s="13" t="s">
        <v>36</v>
      </c>
      <c r="M216" s="15" t="n">
        <f aca="false">IF(AND(ISNUMBER(H216),ISNUMBER(I216)),H216*I216,"")</f>
        <v>120</v>
      </c>
    </row>
    <row r="217" customFormat="false" ht="15" hidden="false" customHeight="false" outlineLevel="0" collapsed="false">
      <c r="A217" s="13" t="n">
        <v>1233</v>
      </c>
      <c r="B217" s="14" t="n">
        <v>46213</v>
      </c>
      <c r="C217" s="13" t="s">
        <v>399</v>
      </c>
      <c r="D217" s="13" t="s">
        <v>428</v>
      </c>
      <c r="E217" s="13" t="s">
        <v>25</v>
      </c>
      <c r="F217" s="13" t="s">
        <v>96</v>
      </c>
      <c r="G217" s="13" t="s">
        <v>56</v>
      </c>
      <c r="H217" s="13" t="n">
        <v>1</v>
      </c>
      <c r="I217" s="15" t="n">
        <v>320</v>
      </c>
      <c r="J217" s="13" t="s">
        <v>64</v>
      </c>
      <c r="K217" s="13" t="s">
        <v>80</v>
      </c>
      <c r="L217" s="13" t="s">
        <v>35</v>
      </c>
      <c r="M217" s="15" t="n">
        <f aca="false">IF(AND(ISNUMBER(H217),ISNUMBER(I217)),H217*I217,"")</f>
        <v>320</v>
      </c>
    </row>
    <row r="218" customFormat="false" ht="15" hidden="false" customHeight="false" outlineLevel="0" collapsed="false">
      <c r="A218" s="13" t="n">
        <v>1349</v>
      </c>
      <c r="B218" s="14" t="n">
        <v>46245</v>
      </c>
      <c r="C218" s="13" t="s">
        <v>429</v>
      </c>
      <c r="D218" s="13" t="s">
        <v>430</v>
      </c>
      <c r="E218" s="13" t="s">
        <v>26</v>
      </c>
      <c r="F218" s="13" t="s">
        <v>20</v>
      </c>
      <c r="G218" s="13" t="s">
        <v>71</v>
      </c>
      <c r="H218" s="13" t="n">
        <v>1</v>
      </c>
      <c r="I218" s="15" t="n">
        <v>550</v>
      </c>
      <c r="J218" s="13" t="s">
        <v>72</v>
      </c>
      <c r="K218" s="13" t="s">
        <v>58</v>
      </c>
      <c r="L218" s="13" t="s">
        <v>36</v>
      </c>
      <c r="M218" s="15" t="n">
        <f aca="false">IF(AND(ISNUMBER(H218),ISNUMBER(I218)),H218*I218,"")</f>
        <v>550</v>
      </c>
    </row>
    <row r="219" customFormat="false" ht="15" hidden="false" customHeight="false" outlineLevel="0" collapsed="false">
      <c r="A219" s="13" t="n">
        <v>1303</v>
      </c>
      <c r="B219" s="14" t="n">
        <v>46258</v>
      </c>
      <c r="C219" s="13" t="s">
        <v>431</v>
      </c>
      <c r="D219" s="13" t="s">
        <v>432</v>
      </c>
      <c r="E219" s="13" t="s">
        <v>26</v>
      </c>
      <c r="F219" s="13" t="s">
        <v>18</v>
      </c>
      <c r="G219" s="13" t="s">
        <v>63</v>
      </c>
      <c r="H219" s="13" t="n">
        <v>3</v>
      </c>
      <c r="I219" s="15" t="n">
        <v>950</v>
      </c>
      <c r="J219" s="13" t="s">
        <v>57</v>
      </c>
      <c r="K219" s="13" t="s">
        <v>52</v>
      </c>
      <c r="L219" s="13" t="s">
        <v>36</v>
      </c>
      <c r="M219" s="15" t="n">
        <f aca="false">IF(AND(ISNUMBER(H219),ISNUMBER(I219)),H219*I219,"")</f>
        <v>2850</v>
      </c>
    </row>
    <row r="220" customFormat="false" ht="15" hidden="false" customHeight="false" outlineLevel="0" collapsed="false">
      <c r="A220" s="13" t="n">
        <v>1077</v>
      </c>
      <c r="B220" s="14" t="n">
        <v>46183</v>
      </c>
      <c r="C220" s="13" t="s">
        <v>198</v>
      </c>
      <c r="D220" s="13" t="s">
        <v>433</v>
      </c>
      <c r="E220" s="13" t="s">
        <v>25</v>
      </c>
      <c r="F220" s="13" t="s">
        <v>17</v>
      </c>
      <c r="G220" s="13" t="s">
        <v>86</v>
      </c>
      <c r="H220" s="13" t="n">
        <v>1</v>
      </c>
      <c r="I220" s="15" t="n">
        <v>900</v>
      </c>
      <c r="J220" s="13" t="s">
        <v>64</v>
      </c>
      <c r="K220" s="13" t="s">
        <v>58</v>
      </c>
      <c r="L220" s="13" t="s">
        <v>34</v>
      </c>
      <c r="M220" s="15" t="n">
        <f aca="false">IF(AND(ISNUMBER(H220),ISNUMBER(I220)),H220*I220,"")</f>
        <v>900</v>
      </c>
    </row>
    <row r="221" customFormat="false" ht="15" hidden="false" customHeight="false" outlineLevel="0" collapsed="false">
      <c r="A221" s="13" t="n">
        <v>1151</v>
      </c>
      <c r="B221" s="14" t="n">
        <v>46189</v>
      </c>
      <c r="C221" s="13" t="s">
        <v>190</v>
      </c>
      <c r="D221" s="13" t="s">
        <v>68</v>
      </c>
      <c r="E221" s="13" t="s">
        <v>25</v>
      </c>
      <c r="F221" s="13" t="s">
        <v>55</v>
      </c>
      <c r="G221" s="13" t="s">
        <v>56</v>
      </c>
      <c r="H221" s="13" t="n">
        <v>1</v>
      </c>
      <c r="I221" s="15" t="n">
        <v>450</v>
      </c>
      <c r="J221" s="13" t="s">
        <v>64</v>
      </c>
      <c r="K221" s="13" t="s">
        <v>80</v>
      </c>
      <c r="L221" s="13" t="s">
        <v>34</v>
      </c>
      <c r="M221" s="15" t="n">
        <f aca="false">IF(AND(ISNUMBER(H221),ISNUMBER(I221)),H221*I221,"")</f>
        <v>450</v>
      </c>
    </row>
    <row r="222" customFormat="false" ht="15" hidden="false" customHeight="false" outlineLevel="0" collapsed="false">
      <c r="A222" s="13" t="n">
        <v>1372</v>
      </c>
      <c r="B222" s="14" t="n">
        <v>46263</v>
      </c>
      <c r="C222" s="13" t="s">
        <v>434</v>
      </c>
      <c r="D222" s="13" t="s">
        <v>435</v>
      </c>
      <c r="E222" s="13" t="s">
        <v>24</v>
      </c>
      <c r="F222" s="13" t="s">
        <v>16</v>
      </c>
      <c r="G222" s="13" t="s">
        <v>101</v>
      </c>
      <c r="H222" s="13" t="n">
        <v>4</v>
      </c>
      <c r="I222" s="15" t="n">
        <v>1100</v>
      </c>
      <c r="J222" s="13" t="s">
        <v>72</v>
      </c>
      <c r="K222" s="13" t="s">
        <v>80</v>
      </c>
      <c r="L222" s="13" t="s">
        <v>36</v>
      </c>
      <c r="M222" s="15" t="n">
        <f aca="false">IF(AND(ISNUMBER(H222),ISNUMBER(I222)),H222*I222,"")</f>
        <v>4400</v>
      </c>
    </row>
    <row r="223" customFormat="false" ht="15" hidden="false" customHeight="false" outlineLevel="0" collapsed="false">
      <c r="A223" s="13" t="n">
        <v>1070</v>
      </c>
      <c r="B223" s="14" t="n">
        <v>46223</v>
      </c>
      <c r="C223" s="13" t="s">
        <v>256</v>
      </c>
      <c r="D223" s="13" t="s">
        <v>436</v>
      </c>
      <c r="E223" s="13" t="s">
        <v>24</v>
      </c>
      <c r="F223" s="13" t="s">
        <v>131</v>
      </c>
      <c r="G223" s="13" t="s">
        <v>56</v>
      </c>
      <c r="H223" s="13" t="n">
        <v>1</v>
      </c>
      <c r="I223" s="15" t="n">
        <v>180</v>
      </c>
      <c r="J223" s="13" t="s">
        <v>72</v>
      </c>
      <c r="K223" s="13" t="s">
        <v>58</v>
      </c>
      <c r="L223" s="13" t="s">
        <v>35</v>
      </c>
      <c r="M223" s="15" t="n">
        <f aca="false">IF(AND(ISNUMBER(H223),ISNUMBER(I223)),H223*I223,"")</f>
        <v>180</v>
      </c>
    </row>
    <row r="224" customFormat="false" ht="15" hidden="false" customHeight="false" outlineLevel="0" collapsed="false">
      <c r="A224" s="13" t="n">
        <v>1009</v>
      </c>
      <c r="B224" s="14" t="n">
        <v>46187</v>
      </c>
      <c r="C224" s="13" t="s">
        <v>437</v>
      </c>
      <c r="D224" s="13" t="s">
        <v>438</v>
      </c>
      <c r="E224" s="13" t="s">
        <v>25</v>
      </c>
      <c r="F224" s="13" t="s">
        <v>55</v>
      </c>
      <c r="G224" s="13" t="s">
        <v>56</v>
      </c>
      <c r="H224" s="13" t="n">
        <v>2</v>
      </c>
      <c r="I224" s="15" t="n">
        <v>450</v>
      </c>
      <c r="J224" s="13" t="s">
        <v>72</v>
      </c>
      <c r="K224" s="13" t="s">
        <v>80</v>
      </c>
      <c r="L224" s="13" t="s">
        <v>34</v>
      </c>
      <c r="M224" s="15" t="n">
        <f aca="false">IF(AND(ISNUMBER(H224),ISNUMBER(I224)),H224*I224,"")</f>
        <v>900</v>
      </c>
    </row>
    <row r="225" customFormat="false" ht="15" hidden="false" customHeight="false" outlineLevel="0" collapsed="false">
      <c r="A225" s="13" t="n">
        <v>1215</v>
      </c>
      <c r="B225" s="14" t="n">
        <v>46241</v>
      </c>
      <c r="C225" s="13" t="s">
        <v>145</v>
      </c>
      <c r="D225" s="13" t="s">
        <v>439</v>
      </c>
      <c r="E225" s="13" t="s">
        <v>25</v>
      </c>
      <c r="F225" s="13" t="s">
        <v>18</v>
      </c>
      <c r="G225" s="13" t="s">
        <v>63</v>
      </c>
      <c r="H225" s="13" t="n">
        <v>2</v>
      </c>
      <c r="I225" s="15" t="n">
        <v>950</v>
      </c>
      <c r="J225" s="13" t="s">
        <v>51</v>
      </c>
      <c r="K225" s="13" t="s">
        <v>58</v>
      </c>
      <c r="L225" s="13" t="s">
        <v>36</v>
      </c>
      <c r="M225" s="15" t="n">
        <f aca="false">IF(AND(ISNUMBER(H225),ISNUMBER(I225)),H225*I225,"")</f>
        <v>1900</v>
      </c>
    </row>
    <row r="226" customFormat="false" ht="15" hidden="false" customHeight="false" outlineLevel="0" collapsed="false">
      <c r="A226" s="13" t="n">
        <v>1298</v>
      </c>
      <c r="B226" s="14" t="n">
        <v>46249</v>
      </c>
      <c r="C226" s="13" t="s">
        <v>110</v>
      </c>
      <c r="D226" s="13" t="s">
        <v>68</v>
      </c>
      <c r="E226" s="13" t="s">
        <v>26</v>
      </c>
      <c r="F226" s="13" t="s">
        <v>91</v>
      </c>
      <c r="G226" s="13" t="s">
        <v>71</v>
      </c>
      <c r="H226" s="13"/>
      <c r="I226" s="15"/>
      <c r="J226" s="13" t="s">
        <v>51</v>
      </c>
      <c r="K226" s="13" t="s">
        <v>58</v>
      </c>
      <c r="L226" s="13" t="s">
        <v>36</v>
      </c>
      <c r="M226" s="15" t="str">
        <f aca="false">IF(AND(ISNUMBER(H226),ISNUMBER(I226)),H226*I226,"")</f>
        <v/>
      </c>
    </row>
    <row r="227" customFormat="false" ht="15" hidden="false" customHeight="false" outlineLevel="0" collapsed="false">
      <c r="A227" s="13" t="n">
        <v>1305</v>
      </c>
      <c r="B227" s="14" t="n">
        <v>46184</v>
      </c>
      <c r="C227" s="13" t="s">
        <v>117</v>
      </c>
      <c r="D227" s="13" t="s">
        <v>440</v>
      </c>
      <c r="E227" s="13" t="s">
        <v>26</v>
      </c>
      <c r="F227" s="13" t="s">
        <v>55</v>
      </c>
      <c r="G227" s="13" t="s">
        <v>56</v>
      </c>
      <c r="H227" s="13" t="n">
        <v>1</v>
      </c>
      <c r="I227" s="15" t="n">
        <v>450</v>
      </c>
      <c r="J227" s="13" t="s">
        <v>64</v>
      </c>
      <c r="K227" s="13" t="s">
        <v>58</v>
      </c>
      <c r="L227" s="13" t="s">
        <v>34</v>
      </c>
      <c r="M227" s="15" t="n">
        <f aca="false">IF(AND(ISNUMBER(H227),ISNUMBER(I227)),H227*I227,"")</f>
        <v>450</v>
      </c>
    </row>
    <row r="228" customFormat="false" ht="15" hidden="false" customHeight="false" outlineLevel="0" collapsed="false">
      <c r="A228" s="13" t="n">
        <v>1396</v>
      </c>
      <c r="B228" s="14" t="n">
        <v>46235</v>
      </c>
      <c r="C228" s="13" t="s">
        <v>385</v>
      </c>
      <c r="D228" s="13" t="s">
        <v>441</v>
      </c>
      <c r="E228" s="13" t="s">
        <v>25</v>
      </c>
      <c r="F228" s="13" t="s">
        <v>20</v>
      </c>
      <c r="G228" s="13" t="s">
        <v>71</v>
      </c>
      <c r="H228" s="13" t="n">
        <v>1</v>
      </c>
      <c r="I228" s="15" t="n">
        <v>550</v>
      </c>
      <c r="J228" s="13" t="s">
        <v>57</v>
      </c>
      <c r="K228" s="13" t="s">
        <v>58</v>
      </c>
      <c r="L228" s="13" t="s">
        <v>36</v>
      </c>
      <c r="M228" s="15" t="n">
        <f aca="false">IF(AND(ISNUMBER(H228),ISNUMBER(I228)),H228*I228,"")</f>
        <v>550</v>
      </c>
    </row>
    <row r="229" customFormat="false" ht="15" hidden="false" customHeight="false" outlineLevel="0" collapsed="false">
      <c r="A229" s="13" t="n">
        <v>1304</v>
      </c>
      <c r="B229" s="14" t="n">
        <v>46197</v>
      </c>
      <c r="C229" s="13" t="s">
        <v>278</v>
      </c>
      <c r="D229" s="13" t="s">
        <v>442</v>
      </c>
      <c r="E229" s="13" t="s">
        <v>27</v>
      </c>
      <c r="F229" s="13" t="s">
        <v>55</v>
      </c>
      <c r="G229" s="13" t="s">
        <v>56</v>
      </c>
      <c r="H229" s="13" t="n">
        <v>3</v>
      </c>
      <c r="I229" s="15" t="n">
        <v>450</v>
      </c>
      <c r="J229" s="13" t="s">
        <v>64</v>
      </c>
      <c r="K229" s="13" t="s">
        <v>58</v>
      </c>
      <c r="L229" s="13" t="s">
        <v>34</v>
      </c>
      <c r="M229" s="15" t="n">
        <f aca="false">IF(AND(ISNUMBER(H229),ISNUMBER(I229)),H229*I229,"")</f>
        <v>1350</v>
      </c>
    </row>
    <row r="230" customFormat="false" ht="15" hidden="false" customHeight="false" outlineLevel="0" collapsed="false">
      <c r="A230" s="13" t="n">
        <v>1196</v>
      </c>
      <c r="B230" s="14" t="n">
        <v>46236</v>
      </c>
      <c r="C230" s="13" t="s">
        <v>416</v>
      </c>
      <c r="D230" s="13" t="s">
        <v>443</v>
      </c>
      <c r="E230" s="13" t="s">
        <v>29</v>
      </c>
      <c r="F230" s="13" t="s">
        <v>17</v>
      </c>
      <c r="G230" s="13" t="s">
        <v>86</v>
      </c>
      <c r="H230" s="13" t="n">
        <v>2</v>
      </c>
      <c r="I230" s="15" t="n">
        <v>900</v>
      </c>
      <c r="J230" s="13" t="s">
        <v>64</v>
      </c>
      <c r="K230" s="13" t="s">
        <v>58</v>
      </c>
      <c r="L230" s="13" t="s">
        <v>36</v>
      </c>
      <c r="M230" s="15" t="n">
        <f aca="false">IF(AND(ISNUMBER(H230),ISNUMBER(I230)),H230*I230,"")</f>
        <v>1800</v>
      </c>
    </row>
    <row r="231" customFormat="false" ht="15" hidden="false" customHeight="false" outlineLevel="0" collapsed="false">
      <c r="A231" s="13" t="n">
        <v>1167</v>
      </c>
      <c r="B231" s="14" t="n">
        <v>46256</v>
      </c>
      <c r="C231" s="13" t="s">
        <v>444</v>
      </c>
      <c r="D231" s="13" t="s">
        <v>445</v>
      </c>
      <c r="E231" s="13" t="s">
        <v>26</v>
      </c>
      <c r="F231" s="13" t="s">
        <v>18</v>
      </c>
      <c r="G231" s="13" t="s">
        <v>63</v>
      </c>
      <c r="H231" s="13" t="n">
        <v>3</v>
      </c>
      <c r="I231" s="15" t="n">
        <v>950</v>
      </c>
      <c r="J231" s="13" t="s">
        <v>64</v>
      </c>
      <c r="K231" s="13" t="s">
        <v>58</v>
      </c>
      <c r="L231" s="13" t="s">
        <v>36</v>
      </c>
      <c r="M231" s="15" t="n">
        <f aca="false">IF(AND(ISNUMBER(H231),ISNUMBER(I231)),H231*I231,"")</f>
        <v>2850</v>
      </c>
    </row>
    <row r="232" customFormat="false" ht="15" hidden="false" customHeight="false" outlineLevel="0" collapsed="false">
      <c r="A232" s="13" t="n">
        <v>1306</v>
      </c>
      <c r="B232" s="14" t="n">
        <v>46225</v>
      </c>
      <c r="C232" s="13" t="s">
        <v>222</v>
      </c>
      <c r="D232" s="13" t="s">
        <v>446</v>
      </c>
      <c r="E232" s="13" t="s">
        <v>27</v>
      </c>
      <c r="F232" s="13" t="s">
        <v>55</v>
      </c>
      <c r="G232" s="13" t="s">
        <v>56</v>
      </c>
      <c r="H232" s="13" t="n">
        <v>1</v>
      </c>
      <c r="I232" s="15" t="n">
        <v>450</v>
      </c>
      <c r="J232" s="13" t="s">
        <v>64</v>
      </c>
      <c r="K232" s="13" t="s">
        <v>58</v>
      </c>
      <c r="L232" s="13" t="s">
        <v>35</v>
      </c>
      <c r="M232" s="15" t="n">
        <f aca="false">IF(AND(ISNUMBER(H232),ISNUMBER(I232)),H232*I232,"")</f>
        <v>450</v>
      </c>
    </row>
    <row r="233" customFormat="false" ht="15" hidden="false" customHeight="false" outlineLevel="0" collapsed="false">
      <c r="A233" s="13" t="n">
        <v>1179</v>
      </c>
      <c r="B233" s="14" t="n">
        <v>46259</v>
      </c>
      <c r="C233" s="13" t="s">
        <v>169</v>
      </c>
      <c r="D233" s="13" t="s">
        <v>447</v>
      </c>
      <c r="E233" s="13" t="s">
        <v>24</v>
      </c>
      <c r="F233" s="13" t="s">
        <v>17</v>
      </c>
      <c r="G233" s="13" t="s">
        <v>86</v>
      </c>
      <c r="H233" s="13"/>
      <c r="I233" s="15" t="n">
        <v>900</v>
      </c>
      <c r="J233" s="13" t="s">
        <v>72</v>
      </c>
      <c r="K233" s="13" t="s">
        <v>75</v>
      </c>
      <c r="L233" s="13" t="s">
        <v>36</v>
      </c>
      <c r="M233" s="15" t="str">
        <f aca="false">IF(AND(ISNUMBER(H233),ISNUMBER(I233)),H233*I233,"")</f>
        <v/>
      </c>
    </row>
    <row r="234" customFormat="false" ht="15" hidden="false" customHeight="false" outlineLevel="0" collapsed="false">
      <c r="A234" s="13" t="n">
        <v>1389</v>
      </c>
      <c r="B234" s="14" t="n">
        <v>46239</v>
      </c>
      <c r="C234" s="13" t="s">
        <v>444</v>
      </c>
      <c r="D234" s="13" t="s">
        <v>448</v>
      </c>
      <c r="E234" s="13" t="s">
        <v>26</v>
      </c>
      <c r="F234" s="13" t="s">
        <v>96</v>
      </c>
      <c r="G234" s="13" t="s">
        <v>56</v>
      </c>
      <c r="H234" s="13" t="n">
        <v>1</v>
      </c>
      <c r="I234" s="15" t="n">
        <v>320</v>
      </c>
      <c r="J234" s="13" t="s">
        <v>72</v>
      </c>
      <c r="K234" s="13" t="s">
        <v>52</v>
      </c>
      <c r="L234" s="13" t="s">
        <v>36</v>
      </c>
      <c r="M234" s="15" t="n">
        <f aca="false">IF(AND(ISNUMBER(H234),ISNUMBER(I234)),H234*I234,"")</f>
        <v>320</v>
      </c>
    </row>
    <row r="235" customFormat="false" ht="15" hidden="false" customHeight="false" outlineLevel="0" collapsed="false">
      <c r="A235" s="13" t="n">
        <v>1330</v>
      </c>
      <c r="B235" s="14" t="n">
        <v>46190</v>
      </c>
      <c r="C235" s="13" t="s">
        <v>449</v>
      </c>
      <c r="D235" s="13" t="s">
        <v>450</v>
      </c>
      <c r="E235" s="13" t="s">
        <v>25</v>
      </c>
      <c r="F235" s="13" t="s">
        <v>18</v>
      </c>
      <c r="G235" s="13" t="s">
        <v>63</v>
      </c>
      <c r="H235" s="13" t="n">
        <v>2</v>
      </c>
      <c r="I235" s="15" t="n">
        <v>950</v>
      </c>
      <c r="J235" s="13" t="s">
        <v>72</v>
      </c>
      <c r="K235" s="13" t="s">
        <v>58</v>
      </c>
      <c r="L235" s="13" t="s">
        <v>34</v>
      </c>
      <c r="M235" s="15" t="n">
        <f aca="false">IF(AND(ISNUMBER(H235),ISNUMBER(I235)),H235*I235,"")</f>
        <v>1900</v>
      </c>
    </row>
    <row r="236" customFormat="false" ht="15" hidden="false" customHeight="false" outlineLevel="0" collapsed="false">
      <c r="A236" s="13" t="n">
        <v>1386</v>
      </c>
      <c r="B236" s="14" t="n">
        <v>46187</v>
      </c>
      <c r="C236" s="13" t="s">
        <v>451</v>
      </c>
      <c r="D236" s="13" t="s">
        <v>452</v>
      </c>
      <c r="E236" s="13" t="s">
        <v>29</v>
      </c>
      <c r="F236" s="13" t="s">
        <v>131</v>
      </c>
      <c r="G236" s="13" t="s">
        <v>56</v>
      </c>
      <c r="H236" s="13" t="n">
        <v>1</v>
      </c>
      <c r="I236" s="15" t="n">
        <v>180</v>
      </c>
      <c r="J236" s="13" t="s">
        <v>64</v>
      </c>
      <c r="K236" s="13" t="s">
        <v>58</v>
      </c>
      <c r="L236" s="13" t="s">
        <v>34</v>
      </c>
      <c r="M236" s="15" t="n">
        <f aca="false">IF(AND(ISNUMBER(H236),ISNUMBER(I236)),H236*I236,"")</f>
        <v>180</v>
      </c>
    </row>
    <row r="237" customFormat="false" ht="15" hidden="false" customHeight="false" outlineLevel="0" collapsed="false">
      <c r="A237" s="13" t="n">
        <v>1202</v>
      </c>
      <c r="B237" s="14" t="n">
        <v>46265</v>
      </c>
      <c r="C237" s="13" t="s">
        <v>453</v>
      </c>
      <c r="D237" s="13" t="s">
        <v>68</v>
      </c>
      <c r="E237" s="13" t="s">
        <v>24</v>
      </c>
      <c r="F237" s="13" t="s">
        <v>91</v>
      </c>
      <c r="G237" s="13" t="s">
        <v>71</v>
      </c>
      <c r="H237" s="13" t="n">
        <v>1</v>
      </c>
      <c r="I237" s="15" t="n">
        <v>300</v>
      </c>
      <c r="J237" s="13" t="s">
        <v>64</v>
      </c>
      <c r="K237" s="13" t="s">
        <v>58</v>
      </c>
      <c r="L237" s="13" t="s">
        <v>36</v>
      </c>
      <c r="M237" s="15" t="n">
        <f aca="false">IF(AND(ISNUMBER(H237),ISNUMBER(I237)),H237*I237,"")</f>
        <v>300</v>
      </c>
    </row>
    <row r="238" customFormat="false" ht="15" hidden="false" customHeight="false" outlineLevel="0" collapsed="false">
      <c r="A238" s="13" t="n">
        <v>1186</v>
      </c>
      <c r="B238" s="14" t="n">
        <v>46263</v>
      </c>
      <c r="C238" s="13" t="s">
        <v>454</v>
      </c>
      <c r="D238" s="13" t="s">
        <v>455</v>
      </c>
      <c r="E238" s="13" t="s">
        <v>27</v>
      </c>
      <c r="F238" s="13" t="s">
        <v>55</v>
      </c>
      <c r="G238" s="13" t="s">
        <v>56</v>
      </c>
      <c r="H238" s="13" t="n">
        <v>1</v>
      </c>
      <c r="I238" s="15" t="n">
        <v>450</v>
      </c>
      <c r="J238" s="13" t="s">
        <v>64</v>
      </c>
      <c r="K238" s="13" t="s">
        <v>58</v>
      </c>
      <c r="L238" s="13" t="s">
        <v>36</v>
      </c>
      <c r="M238" s="15" t="n">
        <f aca="false">IF(AND(ISNUMBER(H238),ISNUMBER(I238)),H238*I238,"")</f>
        <v>450</v>
      </c>
    </row>
    <row r="239" customFormat="false" ht="15" hidden="false" customHeight="false" outlineLevel="0" collapsed="false">
      <c r="A239" s="13" t="n">
        <v>1096</v>
      </c>
      <c r="B239" s="14" t="n">
        <v>46219</v>
      </c>
      <c r="C239" s="13" t="s">
        <v>211</v>
      </c>
      <c r="D239" s="13" t="s">
        <v>456</v>
      </c>
      <c r="E239" s="13" t="s">
        <v>25</v>
      </c>
      <c r="F239" s="13" t="s">
        <v>16</v>
      </c>
      <c r="G239" s="13" t="s">
        <v>101</v>
      </c>
      <c r="H239" s="13" t="n">
        <v>1</v>
      </c>
      <c r="I239" s="15" t="n">
        <v>1100</v>
      </c>
      <c r="J239" s="13" t="s">
        <v>64</v>
      </c>
      <c r="K239" s="13" t="s">
        <v>80</v>
      </c>
      <c r="L239" s="13" t="s">
        <v>35</v>
      </c>
      <c r="M239" s="15" t="n">
        <f aca="false">IF(AND(ISNUMBER(H239),ISNUMBER(I239)),H239*I239,"")</f>
        <v>1100</v>
      </c>
    </row>
    <row r="240" customFormat="false" ht="15" hidden="false" customHeight="false" outlineLevel="0" collapsed="false">
      <c r="A240" s="13" t="n">
        <v>1367</v>
      </c>
      <c r="B240" s="14" t="n">
        <v>46226</v>
      </c>
      <c r="C240" s="13" t="s">
        <v>457</v>
      </c>
      <c r="D240" s="13" t="s">
        <v>458</v>
      </c>
      <c r="E240" s="13" t="s">
        <v>27</v>
      </c>
      <c r="F240" s="13" t="s">
        <v>49</v>
      </c>
      <c r="G240" s="13" t="s">
        <v>50</v>
      </c>
      <c r="H240" s="13" t="n">
        <v>1</v>
      </c>
      <c r="I240" s="15" t="n">
        <v>120</v>
      </c>
      <c r="J240" s="13" t="s">
        <v>72</v>
      </c>
      <c r="K240" s="13" t="s">
        <v>58</v>
      </c>
      <c r="L240" s="13" t="s">
        <v>35</v>
      </c>
      <c r="M240" s="15" t="n">
        <f aca="false">IF(AND(ISNUMBER(H240),ISNUMBER(I240)),H240*I240,"")</f>
        <v>120</v>
      </c>
    </row>
    <row r="241" customFormat="false" ht="15" hidden="false" customHeight="false" outlineLevel="0" collapsed="false">
      <c r="A241" s="13" t="n">
        <v>1394</v>
      </c>
      <c r="B241" s="14" t="n">
        <v>46238</v>
      </c>
      <c r="C241" s="13" t="s">
        <v>459</v>
      </c>
      <c r="D241" s="13" t="s">
        <v>460</v>
      </c>
      <c r="E241" s="13" t="s">
        <v>30</v>
      </c>
      <c r="F241" s="13" t="s">
        <v>96</v>
      </c>
      <c r="G241" s="13" t="s">
        <v>56</v>
      </c>
      <c r="H241" s="13" t="n">
        <v>1</v>
      </c>
      <c r="I241" s="15" t="n">
        <v>320</v>
      </c>
      <c r="J241" s="13" t="s">
        <v>72</v>
      </c>
      <c r="K241" s="13" t="s">
        <v>58</v>
      </c>
      <c r="L241" s="13" t="s">
        <v>36</v>
      </c>
      <c r="M241" s="15" t="n">
        <f aca="false">IF(AND(ISNUMBER(H241),ISNUMBER(I241)),H241*I241,"")</f>
        <v>320</v>
      </c>
    </row>
    <row r="242" customFormat="false" ht="15" hidden="false" customHeight="false" outlineLevel="0" collapsed="false">
      <c r="A242" s="13" t="n">
        <v>1142</v>
      </c>
      <c r="B242" s="14" t="n">
        <v>46207</v>
      </c>
      <c r="C242" s="13" t="s">
        <v>285</v>
      </c>
      <c r="D242" s="13" t="s">
        <v>461</v>
      </c>
      <c r="E242" s="13" t="s">
        <v>27</v>
      </c>
      <c r="F242" s="13" t="s">
        <v>96</v>
      </c>
      <c r="G242" s="13" t="s">
        <v>56</v>
      </c>
      <c r="H242" s="13" t="n">
        <v>2</v>
      </c>
      <c r="I242" s="15" t="n">
        <v>320</v>
      </c>
      <c r="J242" s="13" t="s">
        <v>64</v>
      </c>
      <c r="K242" s="13" t="s">
        <v>58</v>
      </c>
      <c r="L242" s="13" t="s">
        <v>35</v>
      </c>
      <c r="M242" s="15" t="n">
        <f aca="false">IF(AND(ISNUMBER(H242),ISNUMBER(I242)),H242*I242,"")</f>
        <v>640</v>
      </c>
    </row>
    <row r="243" customFormat="false" ht="15" hidden="false" customHeight="false" outlineLevel="0" collapsed="false">
      <c r="A243" s="13" t="n">
        <v>1190</v>
      </c>
      <c r="B243" s="14" t="n">
        <v>46182</v>
      </c>
      <c r="C243" s="13" t="s">
        <v>188</v>
      </c>
      <c r="D243" s="13" t="s">
        <v>462</v>
      </c>
      <c r="E243" s="13" t="s">
        <v>28</v>
      </c>
      <c r="F243" s="13" t="s">
        <v>16</v>
      </c>
      <c r="G243" s="13" t="s">
        <v>101</v>
      </c>
      <c r="H243" s="13" t="n">
        <v>1</v>
      </c>
      <c r="I243" s="15" t="n">
        <v>1100</v>
      </c>
      <c r="J243" s="13" t="s">
        <v>57</v>
      </c>
      <c r="K243" s="13" t="s">
        <v>58</v>
      </c>
      <c r="L243" s="13" t="s">
        <v>34</v>
      </c>
      <c r="M243" s="15" t="n">
        <f aca="false">IF(AND(ISNUMBER(H243),ISNUMBER(I243)),H243*I243,"")</f>
        <v>1100</v>
      </c>
    </row>
    <row r="244" customFormat="false" ht="15" hidden="false" customHeight="false" outlineLevel="0" collapsed="false">
      <c r="A244" s="13" t="n">
        <v>1157</v>
      </c>
      <c r="B244" s="14" t="n">
        <v>46196</v>
      </c>
      <c r="C244" s="13" t="s">
        <v>463</v>
      </c>
      <c r="D244" s="13" t="s">
        <v>464</v>
      </c>
      <c r="E244" s="13" t="s">
        <v>30</v>
      </c>
      <c r="F244" s="13" t="s">
        <v>16</v>
      </c>
      <c r="G244" s="13" t="s">
        <v>101</v>
      </c>
      <c r="H244" s="13" t="n">
        <v>1</v>
      </c>
      <c r="I244" s="15" t="n">
        <v>1100</v>
      </c>
      <c r="J244" s="13" t="s">
        <v>72</v>
      </c>
      <c r="K244" s="13" t="s">
        <v>75</v>
      </c>
      <c r="L244" s="13" t="s">
        <v>34</v>
      </c>
      <c r="M244" s="15" t="n">
        <f aca="false">IF(AND(ISNUMBER(H244),ISNUMBER(I244)),H244*I244,"")</f>
        <v>1100</v>
      </c>
    </row>
    <row r="245" customFormat="false" ht="15" hidden="false" customHeight="false" outlineLevel="0" collapsed="false">
      <c r="A245" s="13" t="n">
        <v>1429</v>
      </c>
      <c r="B245" s="14" t="n">
        <v>46242</v>
      </c>
      <c r="C245" s="13" t="s">
        <v>145</v>
      </c>
      <c r="D245" s="13" t="s">
        <v>465</v>
      </c>
      <c r="E245" s="13" t="s">
        <v>24</v>
      </c>
      <c r="F245" s="13" t="s">
        <v>20</v>
      </c>
      <c r="G245" s="13" t="s">
        <v>71</v>
      </c>
      <c r="H245" s="13" t="n">
        <v>1</v>
      </c>
      <c r="I245" s="15" t="n">
        <v>550</v>
      </c>
      <c r="J245" s="13" t="s">
        <v>64</v>
      </c>
      <c r="K245" s="13" t="s">
        <v>58</v>
      </c>
      <c r="L245" s="13" t="s">
        <v>36</v>
      </c>
      <c r="M245" s="15" t="n">
        <f aca="false">IF(AND(ISNUMBER(H245),ISNUMBER(I245)),H245*I245,"")</f>
        <v>550</v>
      </c>
    </row>
    <row r="246" customFormat="false" ht="15" hidden="false" customHeight="false" outlineLevel="0" collapsed="false">
      <c r="A246" s="13" t="n">
        <v>1320</v>
      </c>
      <c r="B246" s="14" t="n">
        <v>46200</v>
      </c>
      <c r="C246" s="13" t="s">
        <v>250</v>
      </c>
      <c r="D246" s="13" t="s">
        <v>466</v>
      </c>
      <c r="E246" s="13" t="s">
        <v>25</v>
      </c>
      <c r="F246" s="13" t="s">
        <v>19</v>
      </c>
      <c r="G246" s="13" t="s">
        <v>86</v>
      </c>
      <c r="H246" s="13" t="n">
        <v>1</v>
      </c>
      <c r="I246" s="15" t="n">
        <v>750</v>
      </c>
      <c r="J246" s="13" t="s">
        <v>64</v>
      </c>
      <c r="K246" s="13" t="s">
        <v>75</v>
      </c>
      <c r="L246" s="13" t="s">
        <v>34</v>
      </c>
      <c r="M246" s="15" t="n">
        <f aca="false">IF(AND(ISNUMBER(H246),ISNUMBER(I246)),H246*I246,"")</f>
        <v>750</v>
      </c>
    </row>
    <row r="247" customFormat="false" ht="15" hidden="false" customHeight="false" outlineLevel="0" collapsed="false">
      <c r="A247" s="13" t="n">
        <v>1371</v>
      </c>
      <c r="B247" s="14" t="n">
        <v>46261</v>
      </c>
      <c r="C247" s="13" t="s">
        <v>161</v>
      </c>
      <c r="D247" s="13" t="s">
        <v>467</v>
      </c>
      <c r="E247" s="13" t="s">
        <v>27</v>
      </c>
      <c r="F247" s="13" t="s">
        <v>17</v>
      </c>
      <c r="G247" s="13" t="s">
        <v>86</v>
      </c>
      <c r="H247" s="13" t="n">
        <v>1</v>
      </c>
      <c r="I247" s="15" t="n">
        <v>900</v>
      </c>
      <c r="J247" s="13" t="s">
        <v>72</v>
      </c>
      <c r="K247" s="13" t="s">
        <v>58</v>
      </c>
      <c r="L247" s="13" t="s">
        <v>36</v>
      </c>
      <c r="M247" s="15" t="n">
        <f aca="false">IF(AND(ISNUMBER(H247),ISNUMBER(I247)),H247*I247,"")</f>
        <v>900</v>
      </c>
    </row>
    <row r="248" customFormat="false" ht="15" hidden="false" customHeight="false" outlineLevel="0" collapsed="false">
      <c r="A248" s="13" t="n">
        <v>1421</v>
      </c>
      <c r="B248" s="14" t="n">
        <v>46265</v>
      </c>
      <c r="C248" s="13" t="s">
        <v>468</v>
      </c>
      <c r="D248" s="13" t="s">
        <v>469</v>
      </c>
      <c r="E248" s="13" t="s">
        <v>24</v>
      </c>
      <c r="F248" s="13" t="s">
        <v>55</v>
      </c>
      <c r="G248" s="13" t="s">
        <v>56</v>
      </c>
      <c r="H248" s="13" t="n">
        <v>1</v>
      </c>
      <c r="I248" s="15" t="n">
        <v>450</v>
      </c>
      <c r="J248" s="13" t="s">
        <v>57</v>
      </c>
      <c r="K248" s="13" t="s">
        <v>58</v>
      </c>
      <c r="L248" s="13" t="s">
        <v>36</v>
      </c>
      <c r="M248" s="15" t="n">
        <f aca="false">IF(AND(ISNUMBER(H248),ISNUMBER(I248)),H248*I248,"")</f>
        <v>450</v>
      </c>
    </row>
    <row r="249" customFormat="false" ht="15" hidden="false" customHeight="false" outlineLevel="0" collapsed="false">
      <c r="A249" s="13" t="n">
        <v>1144</v>
      </c>
      <c r="B249" s="14" t="n">
        <v>46236</v>
      </c>
      <c r="C249" s="13" t="s">
        <v>239</v>
      </c>
      <c r="D249" s="13" t="s">
        <v>470</v>
      </c>
      <c r="E249" s="13" t="s">
        <v>24</v>
      </c>
      <c r="F249" s="13" t="s">
        <v>91</v>
      </c>
      <c r="G249" s="13" t="s">
        <v>71</v>
      </c>
      <c r="H249" s="13" t="n">
        <v>1</v>
      </c>
      <c r="I249" s="15" t="n">
        <v>300</v>
      </c>
      <c r="J249" s="13" t="s">
        <v>57</v>
      </c>
      <c r="K249" s="13" t="s">
        <v>52</v>
      </c>
      <c r="L249" s="13" t="s">
        <v>36</v>
      </c>
      <c r="M249" s="15" t="n">
        <f aca="false">IF(AND(ISNUMBER(H249),ISNUMBER(I249)),H249*I249,"")</f>
        <v>300</v>
      </c>
    </row>
    <row r="250" customFormat="false" ht="15" hidden="false" customHeight="false" outlineLevel="0" collapsed="false">
      <c r="A250" s="13" t="n">
        <v>1249</v>
      </c>
      <c r="B250" s="14" t="n">
        <v>46224</v>
      </c>
      <c r="C250" s="13" t="s">
        <v>471</v>
      </c>
      <c r="D250" s="13" t="s">
        <v>472</v>
      </c>
      <c r="E250" s="13" t="s">
        <v>24</v>
      </c>
      <c r="F250" s="13" t="s">
        <v>91</v>
      </c>
      <c r="G250" s="13" t="s">
        <v>71</v>
      </c>
      <c r="H250" s="13" t="n">
        <v>2</v>
      </c>
      <c r="I250" s="15" t="n">
        <v>300</v>
      </c>
      <c r="J250" s="13" t="s">
        <v>64</v>
      </c>
      <c r="K250" s="13" t="s">
        <v>75</v>
      </c>
      <c r="L250" s="13" t="s">
        <v>35</v>
      </c>
      <c r="M250" s="15" t="n">
        <f aca="false">IF(AND(ISNUMBER(H250),ISNUMBER(I250)),H250*I250,"")</f>
        <v>600</v>
      </c>
    </row>
    <row r="251" customFormat="false" ht="15" hidden="false" customHeight="false" outlineLevel="0" collapsed="false">
      <c r="A251" s="13" t="n">
        <v>1211</v>
      </c>
      <c r="B251" s="14" t="n">
        <v>46231</v>
      </c>
      <c r="C251" s="13" t="s">
        <v>473</v>
      </c>
      <c r="D251" s="13" t="s">
        <v>68</v>
      </c>
      <c r="E251" s="13" t="s">
        <v>25</v>
      </c>
      <c r="F251" s="13" t="s">
        <v>91</v>
      </c>
      <c r="G251" s="13" t="s">
        <v>71</v>
      </c>
      <c r="H251" s="13" t="n">
        <v>1</v>
      </c>
      <c r="I251" s="15" t="n">
        <v>300</v>
      </c>
      <c r="J251" s="13" t="s">
        <v>51</v>
      </c>
      <c r="K251" s="13" t="s">
        <v>75</v>
      </c>
      <c r="L251" s="13" t="s">
        <v>35</v>
      </c>
      <c r="M251" s="15" t="n">
        <f aca="false">IF(AND(ISNUMBER(H251),ISNUMBER(I251)),H251*I251,"")</f>
        <v>300</v>
      </c>
    </row>
    <row r="252" customFormat="false" ht="15" hidden="false" customHeight="false" outlineLevel="0" collapsed="false">
      <c r="A252" s="13" t="n">
        <v>1359</v>
      </c>
      <c r="B252" s="14" t="n">
        <v>46246</v>
      </c>
      <c r="C252" s="13" t="s">
        <v>474</v>
      </c>
      <c r="D252" s="13" t="s">
        <v>475</v>
      </c>
      <c r="E252" s="13" t="s">
        <v>26</v>
      </c>
      <c r="F252" s="13" t="s">
        <v>18</v>
      </c>
      <c r="G252" s="13" t="s">
        <v>63</v>
      </c>
      <c r="H252" s="13" t="n">
        <v>2</v>
      </c>
      <c r="I252" s="15" t="n">
        <v>950</v>
      </c>
      <c r="J252" s="13" t="s">
        <v>72</v>
      </c>
      <c r="K252" s="13" t="s">
        <v>58</v>
      </c>
      <c r="L252" s="13" t="s">
        <v>36</v>
      </c>
      <c r="M252" s="15" t="n">
        <f aca="false">IF(AND(ISNUMBER(H252),ISNUMBER(I252)),H252*I252,"")</f>
        <v>1900</v>
      </c>
    </row>
    <row r="253" customFormat="false" ht="15" hidden="false" customHeight="false" outlineLevel="0" collapsed="false">
      <c r="A253" s="13" t="n">
        <v>1028</v>
      </c>
      <c r="B253" s="14" t="n">
        <v>46213</v>
      </c>
      <c r="C253" s="13" t="s">
        <v>476</v>
      </c>
      <c r="D253" s="13" t="s">
        <v>68</v>
      </c>
      <c r="E253" s="13" t="s">
        <v>26</v>
      </c>
      <c r="F253" s="13" t="s">
        <v>55</v>
      </c>
      <c r="G253" s="13" t="s">
        <v>56</v>
      </c>
      <c r="H253" s="13" t="n">
        <v>2</v>
      </c>
      <c r="I253" s="15" t="n">
        <v>450</v>
      </c>
      <c r="J253" s="13" t="s">
        <v>64</v>
      </c>
      <c r="K253" s="13" t="s">
        <v>52</v>
      </c>
      <c r="L253" s="13" t="s">
        <v>35</v>
      </c>
      <c r="M253" s="15" t="n">
        <f aca="false">IF(AND(ISNUMBER(H253),ISNUMBER(I253)),H253*I253,"")</f>
        <v>900</v>
      </c>
    </row>
    <row r="254" customFormat="false" ht="15" hidden="false" customHeight="false" outlineLevel="0" collapsed="false">
      <c r="A254" s="13" t="n">
        <v>1016</v>
      </c>
      <c r="B254" s="14" t="n">
        <v>46209</v>
      </c>
      <c r="C254" s="13" t="s">
        <v>477</v>
      </c>
      <c r="D254" s="13" t="s">
        <v>478</v>
      </c>
      <c r="E254" s="13" t="s">
        <v>24</v>
      </c>
      <c r="F254" s="13" t="s">
        <v>20</v>
      </c>
      <c r="G254" s="13" t="s">
        <v>71</v>
      </c>
      <c r="H254" s="13" t="n">
        <v>1</v>
      </c>
      <c r="I254" s="15" t="n">
        <v>550</v>
      </c>
      <c r="J254" s="13" t="s">
        <v>64</v>
      </c>
      <c r="K254" s="13" t="s">
        <v>58</v>
      </c>
      <c r="L254" s="13" t="s">
        <v>35</v>
      </c>
      <c r="M254" s="15" t="n">
        <f aca="false">IF(AND(ISNUMBER(H254),ISNUMBER(I254)),H254*I254,"")</f>
        <v>550</v>
      </c>
    </row>
    <row r="255" customFormat="false" ht="15" hidden="false" customHeight="false" outlineLevel="0" collapsed="false">
      <c r="A255" s="13" t="n">
        <v>1258</v>
      </c>
      <c r="B255" s="14" t="n">
        <v>46234</v>
      </c>
      <c r="C255" s="13" t="s">
        <v>479</v>
      </c>
      <c r="D255" s="13" t="s">
        <v>480</v>
      </c>
      <c r="E255" s="13" t="s">
        <v>25</v>
      </c>
      <c r="F255" s="13" t="s">
        <v>19</v>
      </c>
      <c r="G255" s="13" t="s">
        <v>86</v>
      </c>
      <c r="H255" s="13" t="n">
        <v>2</v>
      </c>
      <c r="I255" s="15" t="n">
        <v>750</v>
      </c>
      <c r="J255" s="13" t="s">
        <v>51</v>
      </c>
      <c r="K255" s="13" t="s">
        <v>58</v>
      </c>
      <c r="L255" s="13" t="s">
        <v>35</v>
      </c>
      <c r="M255" s="15" t="n">
        <f aca="false">IF(AND(ISNUMBER(H255),ISNUMBER(I255)),H255*I255,"")</f>
        <v>1500</v>
      </c>
    </row>
    <row r="256" customFormat="false" ht="15" hidden="false" customHeight="false" outlineLevel="0" collapsed="false">
      <c r="A256" s="13" t="n">
        <v>1164</v>
      </c>
      <c r="B256" s="14" t="n">
        <v>46196</v>
      </c>
      <c r="C256" s="13" t="s">
        <v>399</v>
      </c>
      <c r="D256" s="13" t="s">
        <v>481</v>
      </c>
      <c r="E256" s="13" t="s">
        <v>29</v>
      </c>
      <c r="F256" s="13" t="s">
        <v>18</v>
      </c>
      <c r="G256" s="13" t="s">
        <v>63</v>
      </c>
      <c r="H256" s="13" t="n">
        <v>2</v>
      </c>
      <c r="I256" s="15" t="n">
        <v>950</v>
      </c>
      <c r="J256" s="13" t="s">
        <v>51</v>
      </c>
      <c r="K256" s="13" t="s">
        <v>58</v>
      </c>
      <c r="L256" s="13" t="s">
        <v>34</v>
      </c>
      <c r="M256" s="15" t="n">
        <f aca="false">IF(AND(ISNUMBER(H256),ISNUMBER(I256)),H256*I256,"")</f>
        <v>1900</v>
      </c>
    </row>
    <row r="257" customFormat="false" ht="15" hidden="false" customHeight="false" outlineLevel="0" collapsed="false">
      <c r="A257" s="13" t="n">
        <v>1137</v>
      </c>
      <c r="B257" s="14" t="n">
        <v>46195</v>
      </c>
      <c r="C257" s="13" t="s">
        <v>117</v>
      </c>
      <c r="D257" s="13" t="s">
        <v>482</v>
      </c>
      <c r="E257" s="13" t="s">
        <v>26</v>
      </c>
      <c r="F257" s="13" t="s">
        <v>131</v>
      </c>
      <c r="G257" s="13" t="s">
        <v>56</v>
      </c>
      <c r="H257" s="13" t="n">
        <v>2</v>
      </c>
      <c r="I257" s="15" t="n">
        <v>180</v>
      </c>
      <c r="J257" s="13" t="s">
        <v>64</v>
      </c>
      <c r="K257" s="13" t="s">
        <v>58</v>
      </c>
      <c r="L257" s="13" t="s">
        <v>34</v>
      </c>
      <c r="M257" s="15" t="n">
        <f aca="false">IF(AND(ISNUMBER(H257),ISNUMBER(I257)),H257*I257,"")</f>
        <v>360</v>
      </c>
    </row>
    <row r="258" customFormat="false" ht="15" hidden="false" customHeight="false" outlineLevel="0" collapsed="false">
      <c r="A258" s="13" t="n">
        <v>1286</v>
      </c>
      <c r="B258" s="14" t="n">
        <v>46191</v>
      </c>
      <c r="C258" s="13" t="s">
        <v>269</v>
      </c>
      <c r="D258" s="13" t="s">
        <v>483</v>
      </c>
      <c r="E258" s="13" t="s">
        <v>25</v>
      </c>
      <c r="F258" s="13" t="s">
        <v>96</v>
      </c>
      <c r="G258" s="13" t="s">
        <v>56</v>
      </c>
      <c r="H258" s="13" t="n">
        <v>1</v>
      </c>
      <c r="I258" s="15" t="n">
        <v>320</v>
      </c>
      <c r="J258" s="13" t="s">
        <v>72</v>
      </c>
      <c r="K258" s="13" t="s">
        <v>75</v>
      </c>
      <c r="L258" s="13" t="s">
        <v>34</v>
      </c>
      <c r="M258" s="15" t="n">
        <f aca="false">IF(AND(ISNUMBER(H258),ISNUMBER(I258)),H258*I258,"")</f>
        <v>320</v>
      </c>
    </row>
    <row r="259" customFormat="false" ht="15" hidden="false" customHeight="false" outlineLevel="0" collapsed="false">
      <c r="A259" s="13" t="n">
        <v>1188</v>
      </c>
      <c r="B259" s="14" t="n">
        <v>46174</v>
      </c>
      <c r="C259" s="13" t="s">
        <v>123</v>
      </c>
      <c r="D259" s="13" t="s">
        <v>484</v>
      </c>
      <c r="E259" s="13" t="s">
        <v>24</v>
      </c>
      <c r="F259" s="13" t="s">
        <v>17</v>
      </c>
      <c r="G259" s="13" t="s">
        <v>86</v>
      </c>
      <c r="H259" s="13" t="n">
        <v>1</v>
      </c>
      <c r="I259" s="15" t="n">
        <v>900</v>
      </c>
      <c r="J259" s="13" t="s">
        <v>72</v>
      </c>
      <c r="K259" s="13" t="s">
        <v>75</v>
      </c>
      <c r="L259" s="13" t="s">
        <v>34</v>
      </c>
      <c r="M259" s="15" t="n">
        <f aca="false">IF(AND(ISNUMBER(H259),ISNUMBER(I259)),H259*I259,"")</f>
        <v>900</v>
      </c>
    </row>
    <row r="260" customFormat="false" ht="15" hidden="false" customHeight="false" outlineLevel="0" collapsed="false">
      <c r="A260" s="13" t="n">
        <v>1155</v>
      </c>
      <c r="B260" s="14" t="n">
        <v>46261</v>
      </c>
      <c r="C260" s="13" t="s">
        <v>89</v>
      </c>
      <c r="D260" s="13" t="s">
        <v>68</v>
      </c>
      <c r="E260" s="13" t="s">
        <v>24</v>
      </c>
      <c r="F260" s="13" t="s">
        <v>96</v>
      </c>
      <c r="G260" s="13" t="s">
        <v>56</v>
      </c>
      <c r="H260" s="13" t="n">
        <v>1</v>
      </c>
      <c r="I260" s="15" t="n">
        <v>320</v>
      </c>
      <c r="J260" s="13" t="s">
        <v>64</v>
      </c>
      <c r="K260" s="13" t="s">
        <v>58</v>
      </c>
      <c r="L260" s="13" t="s">
        <v>36</v>
      </c>
      <c r="M260" s="15" t="n">
        <f aca="false">IF(AND(ISNUMBER(H260),ISNUMBER(I260)),H260*I260,"")</f>
        <v>320</v>
      </c>
    </row>
    <row r="261" customFormat="false" ht="15" hidden="false" customHeight="false" outlineLevel="0" collapsed="false">
      <c r="A261" s="13" t="n">
        <v>1228</v>
      </c>
      <c r="B261" s="14" t="n">
        <v>46212</v>
      </c>
      <c r="C261" s="13" t="s">
        <v>485</v>
      </c>
      <c r="D261" s="13" t="s">
        <v>486</v>
      </c>
      <c r="E261" s="13"/>
      <c r="F261" s="13" t="s">
        <v>131</v>
      </c>
      <c r="G261" s="13" t="s">
        <v>56</v>
      </c>
      <c r="H261" s="13" t="n">
        <v>2</v>
      </c>
      <c r="I261" s="15" t="n">
        <v>180</v>
      </c>
      <c r="J261" s="13" t="s">
        <v>57</v>
      </c>
      <c r="K261" s="13" t="s">
        <v>58</v>
      </c>
      <c r="L261" s="13" t="s">
        <v>35</v>
      </c>
      <c r="M261" s="15" t="n">
        <f aca="false">IF(AND(ISNUMBER(H261),ISNUMBER(I261)),H261*I261,"")</f>
        <v>360</v>
      </c>
    </row>
    <row r="262" customFormat="false" ht="15" hidden="false" customHeight="false" outlineLevel="0" collapsed="false">
      <c r="A262" s="13" t="n">
        <v>1113</v>
      </c>
      <c r="B262" s="14" t="n">
        <v>46249</v>
      </c>
      <c r="C262" s="13" t="s">
        <v>175</v>
      </c>
      <c r="D262" s="13" t="s">
        <v>487</v>
      </c>
      <c r="E262" s="13" t="s">
        <v>24</v>
      </c>
      <c r="F262" s="13" t="s">
        <v>20</v>
      </c>
      <c r="G262" s="13" t="s">
        <v>71</v>
      </c>
      <c r="H262" s="13" t="n">
        <v>1</v>
      </c>
      <c r="I262" s="15" t="n">
        <v>550</v>
      </c>
      <c r="J262" s="13" t="s">
        <v>51</v>
      </c>
      <c r="K262" s="13" t="s">
        <v>75</v>
      </c>
      <c r="L262" s="13" t="s">
        <v>36</v>
      </c>
      <c r="M262" s="15" t="n">
        <f aca="false">IF(AND(ISNUMBER(H262),ISNUMBER(I262)),H262*I262,"")</f>
        <v>550</v>
      </c>
    </row>
    <row r="263" customFormat="false" ht="15" hidden="false" customHeight="false" outlineLevel="0" collapsed="false">
      <c r="A263" s="13" t="n">
        <v>1433</v>
      </c>
      <c r="B263" s="14" t="n">
        <v>46223</v>
      </c>
      <c r="C263" s="13" t="s">
        <v>188</v>
      </c>
      <c r="D263" s="13" t="s">
        <v>68</v>
      </c>
      <c r="E263" s="13" t="s">
        <v>24</v>
      </c>
      <c r="F263" s="13" t="s">
        <v>49</v>
      </c>
      <c r="G263" s="13" t="s">
        <v>50</v>
      </c>
      <c r="H263" s="13" t="n">
        <v>1</v>
      </c>
      <c r="I263" s="15" t="n">
        <v>120</v>
      </c>
      <c r="J263" s="13" t="s">
        <v>72</v>
      </c>
      <c r="K263" s="13" t="s">
        <v>58</v>
      </c>
      <c r="L263" s="13" t="s">
        <v>35</v>
      </c>
      <c r="M263" s="15" t="n">
        <f aca="false">IF(AND(ISNUMBER(H263),ISNUMBER(I263)),H263*I263,"")</f>
        <v>120</v>
      </c>
    </row>
    <row r="264" customFormat="false" ht="15" hidden="false" customHeight="false" outlineLevel="0" collapsed="false">
      <c r="A264" s="13" t="n">
        <v>1254</v>
      </c>
      <c r="B264" s="14" t="n">
        <v>46223</v>
      </c>
      <c r="C264" s="13" t="s">
        <v>488</v>
      </c>
      <c r="D264" s="13" t="s">
        <v>489</v>
      </c>
      <c r="E264" s="13" t="s">
        <v>29</v>
      </c>
      <c r="F264" s="13" t="s">
        <v>96</v>
      </c>
      <c r="G264" s="13" t="s">
        <v>56</v>
      </c>
      <c r="H264" s="13" t="n">
        <v>1</v>
      </c>
      <c r="I264" s="15" t="n">
        <v>320</v>
      </c>
      <c r="J264" s="13" t="s">
        <v>51</v>
      </c>
      <c r="K264" s="13" t="s">
        <v>58</v>
      </c>
      <c r="L264" s="13" t="s">
        <v>35</v>
      </c>
      <c r="M264" s="15" t="n">
        <f aca="false">IF(AND(ISNUMBER(H264),ISNUMBER(I264)),H264*I264,"")</f>
        <v>320</v>
      </c>
    </row>
    <row r="265" customFormat="false" ht="15" hidden="false" customHeight="false" outlineLevel="0" collapsed="false">
      <c r="A265" s="13" t="n">
        <v>1106</v>
      </c>
      <c r="B265" s="14" t="n">
        <v>46220</v>
      </c>
      <c r="C265" s="13" t="s">
        <v>490</v>
      </c>
      <c r="D265" s="13" t="s">
        <v>491</v>
      </c>
      <c r="E265" s="13" t="s">
        <v>25</v>
      </c>
      <c r="F265" s="13" t="s">
        <v>19</v>
      </c>
      <c r="G265" s="13" t="s">
        <v>86</v>
      </c>
      <c r="H265" s="13" t="n">
        <v>1</v>
      </c>
      <c r="I265" s="15" t="n">
        <v>750</v>
      </c>
      <c r="J265" s="13" t="s">
        <v>57</v>
      </c>
      <c r="K265" s="13" t="s">
        <v>58</v>
      </c>
      <c r="L265" s="13" t="s">
        <v>35</v>
      </c>
      <c r="M265" s="15" t="n">
        <f aca="false">IF(AND(ISNUMBER(H265),ISNUMBER(I265)),H265*I265,"")</f>
        <v>750</v>
      </c>
    </row>
    <row r="266" customFormat="false" ht="15" hidden="false" customHeight="false" outlineLevel="0" collapsed="false">
      <c r="A266" s="13" t="n">
        <v>1370</v>
      </c>
      <c r="B266" s="14" t="n">
        <v>46217</v>
      </c>
      <c r="C266" s="13" t="s">
        <v>387</v>
      </c>
      <c r="D266" s="13" t="s">
        <v>492</v>
      </c>
      <c r="E266" s="13" t="s">
        <v>25</v>
      </c>
      <c r="F266" s="13" t="s">
        <v>17</v>
      </c>
      <c r="G266" s="13" t="s">
        <v>86</v>
      </c>
      <c r="H266" s="13" t="n">
        <v>2</v>
      </c>
      <c r="I266" s="15" t="n">
        <v>900</v>
      </c>
      <c r="J266" s="13" t="s">
        <v>64</v>
      </c>
      <c r="K266" s="13" t="s">
        <v>58</v>
      </c>
      <c r="L266" s="13" t="s">
        <v>35</v>
      </c>
      <c r="M266" s="15" t="n">
        <f aca="false">IF(AND(ISNUMBER(H266),ISNUMBER(I266)),H266*I266,"")</f>
        <v>1800</v>
      </c>
    </row>
    <row r="267" customFormat="false" ht="15" hidden="false" customHeight="false" outlineLevel="0" collapsed="false">
      <c r="A267" s="13" t="n">
        <v>1296</v>
      </c>
      <c r="B267" s="14" t="n">
        <v>46194</v>
      </c>
      <c r="C267" s="13" t="s">
        <v>493</v>
      </c>
      <c r="D267" s="13" t="s">
        <v>494</v>
      </c>
      <c r="E267" s="13" t="s">
        <v>30</v>
      </c>
      <c r="F267" s="13" t="s">
        <v>91</v>
      </c>
      <c r="G267" s="13" t="s">
        <v>71</v>
      </c>
      <c r="H267" s="13" t="n">
        <v>1</v>
      </c>
      <c r="I267" s="15" t="n">
        <v>300</v>
      </c>
      <c r="J267" s="13" t="s">
        <v>57</v>
      </c>
      <c r="K267" s="13" t="s">
        <v>80</v>
      </c>
      <c r="L267" s="13" t="s">
        <v>34</v>
      </c>
      <c r="M267" s="15" t="n">
        <f aca="false">IF(AND(ISNUMBER(H267),ISNUMBER(I267)),H267*I267,"")</f>
        <v>300</v>
      </c>
    </row>
    <row r="268" customFormat="false" ht="15" hidden="false" customHeight="false" outlineLevel="0" collapsed="false">
      <c r="A268" s="13" t="n">
        <v>1063</v>
      </c>
      <c r="B268" s="14" t="n">
        <v>46177</v>
      </c>
      <c r="C268" s="13" t="s">
        <v>495</v>
      </c>
      <c r="D268" s="13" t="s">
        <v>496</v>
      </c>
      <c r="E268" s="13"/>
      <c r="F268" s="13" t="s">
        <v>16</v>
      </c>
      <c r="G268" s="13" t="s">
        <v>101</v>
      </c>
      <c r="H268" s="13" t="n">
        <v>3</v>
      </c>
      <c r="I268" s="15" t="n">
        <v>1100</v>
      </c>
      <c r="J268" s="13" t="s">
        <v>51</v>
      </c>
      <c r="K268" s="13" t="s">
        <v>80</v>
      </c>
      <c r="L268" s="13" t="s">
        <v>34</v>
      </c>
      <c r="M268" s="15" t="n">
        <f aca="false">IF(AND(ISNUMBER(H268),ISNUMBER(I268)),H268*I268,"")</f>
        <v>3300</v>
      </c>
    </row>
    <row r="269" customFormat="false" ht="15" hidden="false" customHeight="false" outlineLevel="0" collapsed="false">
      <c r="A269" s="13" t="n">
        <v>1352</v>
      </c>
      <c r="B269" s="14" t="n">
        <v>46247</v>
      </c>
      <c r="C269" s="13" t="s">
        <v>134</v>
      </c>
      <c r="D269" s="13" t="s">
        <v>497</v>
      </c>
      <c r="E269" s="13" t="s">
        <v>24</v>
      </c>
      <c r="F269" s="13" t="s">
        <v>16</v>
      </c>
      <c r="G269" s="13" t="s">
        <v>101</v>
      </c>
      <c r="H269" s="13" t="n">
        <v>1</v>
      </c>
      <c r="I269" s="15" t="n">
        <v>1100</v>
      </c>
      <c r="J269" s="13" t="s">
        <v>72</v>
      </c>
      <c r="K269" s="13" t="s">
        <v>58</v>
      </c>
      <c r="L269" s="13" t="s">
        <v>36</v>
      </c>
      <c r="M269" s="15" t="n">
        <f aca="false">IF(AND(ISNUMBER(H269),ISNUMBER(I269)),H269*I269,"")</f>
        <v>1100</v>
      </c>
    </row>
    <row r="270" customFormat="false" ht="15" hidden="false" customHeight="false" outlineLevel="0" collapsed="false">
      <c r="A270" s="13" t="n">
        <v>1204</v>
      </c>
      <c r="B270" s="14" t="n">
        <v>46180</v>
      </c>
      <c r="C270" s="13" t="s">
        <v>498</v>
      </c>
      <c r="D270" s="13" t="s">
        <v>499</v>
      </c>
      <c r="E270" s="13" t="s">
        <v>24</v>
      </c>
      <c r="F270" s="13" t="s">
        <v>91</v>
      </c>
      <c r="G270" s="13" t="s">
        <v>71</v>
      </c>
      <c r="H270" s="13" t="n">
        <v>1</v>
      </c>
      <c r="I270" s="15" t="n">
        <v>300</v>
      </c>
      <c r="J270" s="13" t="s">
        <v>72</v>
      </c>
      <c r="K270" s="13" t="s">
        <v>52</v>
      </c>
      <c r="L270" s="13" t="s">
        <v>34</v>
      </c>
      <c r="M270" s="15" t="n">
        <f aca="false">IF(AND(ISNUMBER(H270),ISNUMBER(I270)),H270*I270,"")</f>
        <v>300</v>
      </c>
    </row>
    <row r="271" customFormat="false" ht="15" hidden="false" customHeight="false" outlineLevel="0" collapsed="false">
      <c r="A271" s="13" t="n">
        <v>1351</v>
      </c>
      <c r="B271" s="14" t="n">
        <v>46223</v>
      </c>
      <c r="C271" s="13" t="s">
        <v>163</v>
      </c>
      <c r="D271" s="13" t="s">
        <v>500</v>
      </c>
      <c r="E271" s="13" t="s">
        <v>26</v>
      </c>
      <c r="F271" s="13" t="s">
        <v>20</v>
      </c>
      <c r="G271" s="13" t="s">
        <v>71</v>
      </c>
      <c r="H271" s="13" t="n">
        <v>1</v>
      </c>
      <c r="I271" s="15" t="n">
        <v>550</v>
      </c>
      <c r="J271" s="13" t="s">
        <v>57</v>
      </c>
      <c r="K271" s="13" t="s">
        <v>58</v>
      </c>
      <c r="L271" s="13" t="s">
        <v>35</v>
      </c>
      <c r="M271" s="15" t="n">
        <f aca="false">IF(AND(ISNUMBER(H271),ISNUMBER(I271)),H271*I271,"")</f>
        <v>550</v>
      </c>
    </row>
    <row r="272" customFormat="false" ht="15" hidden="false" customHeight="false" outlineLevel="0" collapsed="false">
      <c r="A272" s="13" t="n">
        <v>1150</v>
      </c>
      <c r="B272" s="14" t="n">
        <v>46245</v>
      </c>
      <c r="C272" s="13" t="s">
        <v>200</v>
      </c>
      <c r="D272" s="13" t="s">
        <v>501</v>
      </c>
      <c r="E272" s="13" t="s">
        <v>24</v>
      </c>
      <c r="F272" s="13" t="s">
        <v>91</v>
      </c>
      <c r="G272" s="13" t="s">
        <v>71</v>
      </c>
      <c r="H272" s="13" t="n">
        <v>2</v>
      </c>
      <c r="I272" s="15" t="n">
        <v>300</v>
      </c>
      <c r="J272" s="13" t="s">
        <v>72</v>
      </c>
      <c r="K272" s="13" t="s">
        <v>80</v>
      </c>
      <c r="L272" s="13" t="s">
        <v>36</v>
      </c>
      <c r="M272" s="15" t="n">
        <f aca="false">IF(AND(ISNUMBER(H272),ISNUMBER(I272)),H272*I272,"")</f>
        <v>600</v>
      </c>
    </row>
    <row r="273" customFormat="false" ht="15" hidden="false" customHeight="false" outlineLevel="0" collapsed="false">
      <c r="A273" s="13" t="n">
        <v>1126</v>
      </c>
      <c r="B273" s="14" t="n">
        <v>46258</v>
      </c>
      <c r="C273" s="13" t="s">
        <v>502</v>
      </c>
      <c r="D273" s="13" t="s">
        <v>503</v>
      </c>
      <c r="E273" s="13" t="s">
        <v>24</v>
      </c>
      <c r="F273" s="13" t="s">
        <v>131</v>
      </c>
      <c r="G273" s="13" t="s">
        <v>56</v>
      </c>
      <c r="H273" s="13" t="n">
        <v>1</v>
      </c>
      <c r="I273" s="15" t="n">
        <v>180</v>
      </c>
      <c r="J273" s="13" t="s">
        <v>72</v>
      </c>
      <c r="K273" s="13" t="s">
        <v>58</v>
      </c>
      <c r="L273" s="13" t="s">
        <v>36</v>
      </c>
      <c r="M273" s="15" t="n">
        <f aca="false">IF(AND(ISNUMBER(H273),ISNUMBER(I273)),H273*I273,"")</f>
        <v>180</v>
      </c>
    </row>
    <row r="274" customFormat="false" ht="15" hidden="false" customHeight="false" outlineLevel="0" collapsed="false">
      <c r="A274" s="13" t="n">
        <v>1342</v>
      </c>
      <c r="B274" s="14" t="n">
        <v>46197</v>
      </c>
      <c r="C274" s="13" t="s">
        <v>504</v>
      </c>
      <c r="D274" s="13" t="s">
        <v>505</v>
      </c>
      <c r="E274" s="13" t="s">
        <v>27</v>
      </c>
      <c r="F274" s="13" t="s">
        <v>19</v>
      </c>
      <c r="G274" s="13" t="s">
        <v>86</v>
      </c>
      <c r="H274" s="13" t="n">
        <v>1</v>
      </c>
      <c r="I274" s="15"/>
      <c r="J274" s="13" t="s">
        <v>51</v>
      </c>
      <c r="K274" s="13" t="s">
        <v>58</v>
      </c>
      <c r="L274" s="13" t="s">
        <v>34</v>
      </c>
      <c r="M274" s="15" t="str">
        <f aca="false">IF(AND(ISNUMBER(H274),ISNUMBER(I274)),H274*I274,"")</f>
        <v/>
      </c>
    </row>
    <row r="275" customFormat="false" ht="15" hidden="false" customHeight="false" outlineLevel="0" collapsed="false">
      <c r="A275" s="13" t="n">
        <v>1161</v>
      </c>
      <c r="B275" s="14" t="n">
        <v>46237</v>
      </c>
      <c r="C275" s="13" t="s">
        <v>506</v>
      </c>
      <c r="D275" s="13" t="s">
        <v>507</v>
      </c>
      <c r="E275" s="13" t="s">
        <v>24</v>
      </c>
      <c r="F275" s="13" t="s">
        <v>49</v>
      </c>
      <c r="G275" s="13" t="s">
        <v>50</v>
      </c>
      <c r="H275" s="13" t="n">
        <v>1</v>
      </c>
      <c r="I275" s="15" t="n">
        <v>120</v>
      </c>
      <c r="J275" s="13" t="s">
        <v>72</v>
      </c>
      <c r="K275" s="13" t="s">
        <v>75</v>
      </c>
      <c r="L275" s="13" t="s">
        <v>36</v>
      </c>
      <c r="M275" s="15" t="n">
        <f aca="false">IF(AND(ISNUMBER(H275),ISNUMBER(I275)),H275*I275,"")</f>
        <v>120</v>
      </c>
    </row>
    <row r="276" customFormat="false" ht="15" hidden="false" customHeight="false" outlineLevel="0" collapsed="false">
      <c r="A276" s="13" t="n">
        <v>1023</v>
      </c>
      <c r="B276" s="14" t="n">
        <v>46242</v>
      </c>
      <c r="C276" s="13" t="s">
        <v>102</v>
      </c>
      <c r="D276" s="13" t="s">
        <v>508</v>
      </c>
      <c r="E276" s="13" t="s">
        <v>27</v>
      </c>
      <c r="F276" s="13" t="s">
        <v>96</v>
      </c>
      <c r="G276" s="13" t="s">
        <v>56</v>
      </c>
      <c r="H276" s="13" t="n">
        <v>4</v>
      </c>
      <c r="I276" s="15" t="n">
        <v>320</v>
      </c>
      <c r="J276" s="13" t="s">
        <v>57</v>
      </c>
      <c r="K276" s="13" t="s">
        <v>58</v>
      </c>
      <c r="L276" s="13" t="s">
        <v>36</v>
      </c>
      <c r="M276" s="15" t="n">
        <f aca="false">IF(AND(ISNUMBER(H276),ISNUMBER(I276)),H276*I276,"")</f>
        <v>1280</v>
      </c>
    </row>
    <row r="277" customFormat="false" ht="15" hidden="false" customHeight="false" outlineLevel="0" collapsed="false">
      <c r="A277" s="13" t="n">
        <v>1145</v>
      </c>
      <c r="B277" s="14" t="n">
        <v>46241</v>
      </c>
      <c r="C277" s="13" t="s">
        <v>509</v>
      </c>
      <c r="D277" s="13" t="s">
        <v>510</v>
      </c>
      <c r="E277" s="13" t="s">
        <v>24</v>
      </c>
      <c r="F277" s="13" t="s">
        <v>18</v>
      </c>
      <c r="G277" s="13" t="s">
        <v>63</v>
      </c>
      <c r="H277" s="13" t="n">
        <v>1</v>
      </c>
      <c r="I277" s="15" t="n">
        <v>950</v>
      </c>
      <c r="J277" s="13" t="s">
        <v>57</v>
      </c>
      <c r="K277" s="13" t="s">
        <v>52</v>
      </c>
      <c r="L277" s="13" t="s">
        <v>36</v>
      </c>
      <c r="M277" s="15" t="n">
        <f aca="false">IF(AND(ISNUMBER(H277),ISNUMBER(I277)),H277*I277,"")</f>
        <v>950</v>
      </c>
    </row>
    <row r="278" customFormat="false" ht="15" hidden="false" customHeight="false" outlineLevel="0" collapsed="false">
      <c r="A278" s="13" t="n">
        <v>1093</v>
      </c>
      <c r="B278" s="14" t="n">
        <v>46206</v>
      </c>
      <c r="C278" s="13" t="s">
        <v>151</v>
      </c>
      <c r="D278" s="13" t="s">
        <v>511</v>
      </c>
      <c r="E278" s="13" t="s">
        <v>26</v>
      </c>
      <c r="F278" s="13" t="s">
        <v>96</v>
      </c>
      <c r="G278" s="13" t="s">
        <v>56</v>
      </c>
      <c r="H278" s="13" t="n">
        <v>1</v>
      </c>
      <c r="I278" s="15" t="n">
        <v>320</v>
      </c>
      <c r="J278" s="13" t="s">
        <v>72</v>
      </c>
      <c r="K278" s="13" t="s">
        <v>58</v>
      </c>
      <c r="L278" s="13" t="s">
        <v>35</v>
      </c>
      <c r="M278" s="15" t="n">
        <f aca="false">IF(AND(ISNUMBER(H278),ISNUMBER(I278)),H278*I278,"")</f>
        <v>320</v>
      </c>
    </row>
    <row r="279" customFormat="false" ht="15" hidden="false" customHeight="false" outlineLevel="0" collapsed="false">
      <c r="A279" s="13" t="n">
        <v>1318</v>
      </c>
      <c r="B279" s="14" t="n">
        <v>46205</v>
      </c>
      <c r="C279" s="13" t="s">
        <v>512</v>
      </c>
      <c r="D279" s="13" t="s">
        <v>68</v>
      </c>
      <c r="E279" s="13" t="s">
        <v>27</v>
      </c>
      <c r="F279" s="13" t="s">
        <v>17</v>
      </c>
      <c r="G279" s="13" t="s">
        <v>86</v>
      </c>
      <c r="H279" s="13" t="n">
        <v>2</v>
      </c>
      <c r="I279" s="15" t="n">
        <v>900</v>
      </c>
      <c r="J279" s="13" t="s">
        <v>64</v>
      </c>
      <c r="K279" s="13" t="s">
        <v>52</v>
      </c>
      <c r="L279" s="13" t="s">
        <v>35</v>
      </c>
      <c r="M279" s="15" t="n">
        <f aca="false">IF(AND(ISNUMBER(H279),ISNUMBER(I279)),H279*I279,"")</f>
        <v>1800</v>
      </c>
    </row>
    <row r="280" customFormat="false" ht="15" hidden="false" customHeight="false" outlineLevel="0" collapsed="false">
      <c r="A280" s="13" t="n">
        <v>1324</v>
      </c>
      <c r="B280" s="14" t="n">
        <v>46201</v>
      </c>
      <c r="C280" s="13" t="s">
        <v>397</v>
      </c>
      <c r="D280" s="13" t="s">
        <v>513</v>
      </c>
      <c r="E280" s="13" t="s">
        <v>30</v>
      </c>
      <c r="F280" s="13" t="s">
        <v>18</v>
      </c>
      <c r="G280" s="13" t="s">
        <v>63</v>
      </c>
      <c r="H280" s="13" t="n">
        <v>1</v>
      </c>
      <c r="I280" s="15" t="n">
        <v>950</v>
      </c>
      <c r="J280" s="13" t="s">
        <v>57</v>
      </c>
      <c r="K280" s="13" t="s">
        <v>58</v>
      </c>
      <c r="L280" s="13" t="s">
        <v>34</v>
      </c>
      <c r="M280" s="15" t="n">
        <f aca="false">IF(AND(ISNUMBER(H280),ISNUMBER(I280)),H280*I280,"")</f>
        <v>950</v>
      </c>
    </row>
    <row r="281" customFormat="false" ht="15" hidden="false" customHeight="false" outlineLevel="0" collapsed="false">
      <c r="A281" s="13" t="n">
        <v>1297</v>
      </c>
      <c r="B281" s="14" t="n">
        <v>46232</v>
      </c>
      <c r="C281" s="13" t="s">
        <v>157</v>
      </c>
      <c r="D281" s="13" t="s">
        <v>514</v>
      </c>
      <c r="E281" s="13" t="s">
        <v>26</v>
      </c>
      <c r="F281" s="13" t="s">
        <v>18</v>
      </c>
      <c r="G281" s="13" t="s">
        <v>63</v>
      </c>
      <c r="H281" s="13" t="n">
        <v>2</v>
      </c>
      <c r="I281" s="15" t="n">
        <v>950</v>
      </c>
      <c r="J281" s="13" t="s">
        <v>64</v>
      </c>
      <c r="K281" s="13" t="s">
        <v>80</v>
      </c>
      <c r="L281" s="13" t="s">
        <v>35</v>
      </c>
      <c r="M281" s="15" t="n">
        <f aca="false">IF(AND(ISNUMBER(H281),ISNUMBER(I281)),H281*I281,"")</f>
        <v>1900</v>
      </c>
    </row>
    <row r="282" customFormat="false" ht="15" hidden="false" customHeight="false" outlineLevel="0" collapsed="false">
      <c r="A282" s="13" t="n">
        <v>1040</v>
      </c>
      <c r="B282" s="14" t="n">
        <v>46229</v>
      </c>
      <c r="C282" s="13" t="s">
        <v>214</v>
      </c>
      <c r="D282" s="13" t="s">
        <v>515</v>
      </c>
      <c r="E282" s="13" t="s">
        <v>26</v>
      </c>
      <c r="F282" s="13" t="s">
        <v>91</v>
      </c>
      <c r="G282" s="13" t="s">
        <v>71</v>
      </c>
      <c r="H282" s="13" t="n">
        <v>1</v>
      </c>
      <c r="I282" s="15" t="n">
        <v>300</v>
      </c>
      <c r="J282" s="13" t="s">
        <v>51</v>
      </c>
      <c r="K282" s="13" t="s">
        <v>58</v>
      </c>
      <c r="L282" s="13" t="s">
        <v>35</v>
      </c>
      <c r="M282" s="15" t="n">
        <f aca="false">IF(AND(ISNUMBER(H282),ISNUMBER(I282)),H282*I282,"")</f>
        <v>300</v>
      </c>
    </row>
    <row r="283" customFormat="false" ht="15" hidden="false" customHeight="false" outlineLevel="0" collapsed="false">
      <c r="A283" s="13" t="n">
        <v>1310</v>
      </c>
      <c r="B283" s="14" t="n">
        <v>46224</v>
      </c>
      <c r="C283" s="13" t="s">
        <v>498</v>
      </c>
      <c r="D283" s="13" t="s">
        <v>516</v>
      </c>
      <c r="E283" s="13"/>
      <c r="F283" s="13" t="s">
        <v>18</v>
      </c>
      <c r="G283" s="13" t="s">
        <v>63</v>
      </c>
      <c r="H283" s="13" t="n">
        <v>1</v>
      </c>
      <c r="I283" s="15" t="n">
        <v>950</v>
      </c>
      <c r="J283" s="13" t="s">
        <v>57</v>
      </c>
      <c r="K283" s="13" t="s">
        <v>80</v>
      </c>
      <c r="L283" s="13" t="s">
        <v>35</v>
      </c>
      <c r="M283" s="15" t="n">
        <f aca="false">IF(AND(ISNUMBER(H283),ISNUMBER(I283)),H283*I283,"")</f>
        <v>950</v>
      </c>
    </row>
    <row r="284" customFormat="false" ht="15" hidden="false" customHeight="false" outlineLevel="0" collapsed="false">
      <c r="A284" s="13" t="n">
        <v>1128</v>
      </c>
      <c r="B284" s="14" t="n">
        <v>46233</v>
      </c>
      <c r="C284" s="13" t="s">
        <v>157</v>
      </c>
      <c r="D284" s="13" t="s">
        <v>517</v>
      </c>
      <c r="E284" s="13" t="s">
        <v>24</v>
      </c>
      <c r="F284" s="13" t="s">
        <v>20</v>
      </c>
      <c r="G284" s="13" t="s">
        <v>71</v>
      </c>
      <c r="H284" s="13" t="n">
        <v>1</v>
      </c>
      <c r="I284" s="15" t="n">
        <v>550</v>
      </c>
      <c r="J284" s="13" t="s">
        <v>57</v>
      </c>
      <c r="K284" s="13" t="s">
        <v>75</v>
      </c>
      <c r="L284" s="13" t="s">
        <v>35</v>
      </c>
      <c r="M284" s="15" t="n">
        <f aca="false">IF(AND(ISNUMBER(H284),ISNUMBER(I284)),H284*I284,"")</f>
        <v>550</v>
      </c>
    </row>
    <row r="285" customFormat="false" ht="15" hidden="false" customHeight="false" outlineLevel="0" collapsed="false">
      <c r="A285" s="13" t="n">
        <v>1008</v>
      </c>
      <c r="B285" s="14" t="n">
        <v>46183</v>
      </c>
      <c r="C285" s="13" t="s">
        <v>410</v>
      </c>
      <c r="D285" s="13" t="s">
        <v>518</v>
      </c>
      <c r="E285" s="13" t="s">
        <v>24</v>
      </c>
      <c r="F285" s="13" t="s">
        <v>131</v>
      </c>
      <c r="G285" s="13" t="s">
        <v>56</v>
      </c>
      <c r="H285" s="13" t="n">
        <v>3</v>
      </c>
      <c r="I285" s="15" t="n">
        <v>180</v>
      </c>
      <c r="J285" s="13" t="s">
        <v>57</v>
      </c>
      <c r="K285" s="13" t="s">
        <v>58</v>
      </c>
      <c r="L285" s="13" t="s">
        <v>34</v>
      </c>
      <c r="M285" s="15" t="n">
        <f aca="false">IF(AND(ISNUMBER(H285),ISNUMBER(I285)),H285*I285,"")</f>
        <v>540</v>
      </c>
    </row>
    <row r="286" customFormat="false" ht="15" hidden="false" customHeight="false" outlineLevel="0" collapsed="false">
      <c r="A286" s="13" t="n">
        <v>1024</v>
      </c>
      <c r="B286" s="14" t="n">
        <v>46257</v>
      </c>
      <c r="C286" s="13" t="s">
        <v>519</v>
      </c>
      <c r="D286" s="13" t="s">
        <v>520</v>
      </c>
      <c r="E286" s="13" t="s">
        <v>25</v>
      </c>
      <c r="F286" s="13" t="s">
        <v>20</v>
      </c>
      <c r="G286" s="13" t="s">
        <v>71</v>
      </c>
      <c r="H286" s="13" t="n">
        <v>2</v>
      </c>
      <c r="I286" s="15" t="n">
        <v>550</v>
      </c>
      <c r="J286" s="13" t="s">
        <v>64</v>
      </c>
      <c r="K286" s="13" t="s">
        <v>75</v>
      </c>
      <c r="L286" s="13" t="s">
        <v>36</v>
      </c>
      <c r="M286" s="15" t="n">
        <f aca="false">IF(AND(ISNUMBER(H286),ISNUMBER(I286)),H286*I286,"")</f>
        <v>1100</v>
      </c>
    </row>
    <row r="287" customFormat="false" ht="15" hidden="false" customHeight="false" outlineLevel="0" collapsed="false">
      <c r="A287" s="13" t="n">
        <v>1275</v>
      </c>
      <c r="B287" s="14" t="n">
        <v>46262</v>
      </c>
      <c r="C287" s="13" t="s">
        <v>521</v>
      </c>
      <c r="D287" s="13" t="s">
        <v>522</v>
      </c>
      <c r="E287" s="13" t="s">
        <v>25</v>
      </c>
      <c r="F287" s="13" t="s">
        <v>19</v>
      </c>
      <c r="G287" s="13" t="s">
        <v>86</v>
      </c>
      <c r="H287" s="13" t="n">
        <v>1</v>
      </c>
      <c r="I287" s="15" t="n">
        <v>750</v>
      </c>
      <c r="J287" s="13" t="s">
        <v>64</v>
      </c>
      <c r="K287" s="13" t="s">
        <v>58</v>
      </c>
      <c r="L287" s="13" t="s">
        <v>36</v>
      </c>
      <c r="M287" s="15" t="n">
        <f aca="false">IF(AND(ISNUMBER(H287),ISNUMBER(I287)),H287*I287,"")</f>
        <v>750</v>
      </c>
    </row>
    <row r="288" customFormat="false" ht="15" hidden="false" customHeight="false" outlineLevel="0" collapsed="false">
      <c r="A288" s="13" t="n">
        <v>1212</v>
      </c>
      <c r="B288" s="14" t="n">
        <v>46207</v>
      </c>
      <c r="C288" s="13" t="s">
        <v>523</v>
      </c>
      <c r="D288" s="13" t="s">
        <v>524</v>
      </c>
      <c r="E288" s="13" t="s">
        <v>24</v>
      </c>
      <c r="F288" s="13" t="s">
        <v>17</v>
      </c>
      <c r="G288" s="13" t="s">
        <v>86</v>
      </c>
      <c r="H288" s="13" t="n">
        <v>1</v>
      </c>
      <c r="I288" s="15" t="n">
        <v>900</v>
      </c>
      <c r="J288" s="13" t="s">
        <v>64</v>
      </c>
      <c r="K288" s="13" t="s">
        <v>75</v>
      </c>
      <c r="L288" s="13" t="s">
        <v>35</v>
      </c>
      <c r="M288" s="15" t="n">
        <f aca="false">IF(AND(ISNUMBER(H288),ISNUMBER(I288)),H288*I288,"")</f>
        <v>900</v>
      </c>
    </row>
    <row r="289" customFormat="false" ht="15" hidden="false" customHeight="false" outlineLevel="0" collapsed="false">
      <c r="A289" s="13" t="n">
        <v>1338</v>
      </c>
      <c r="B289" s="14" t="n">
        <v>46262</v>
      </c>
      <c r="C289" s="13" t="s">
        <v>235</v>
      </c>
      <c r="D289" s="13" t="s">
        <v>525</v>
      </c>
      <c r="E289" s="13" t="s">
        <v>30</v>
      </c>
      <c r="F289" s="13" t="s">
        <v>19</v>
      </c>
      <c r="G289" s="13" t="s">
        <v>86</v>
      </c>
      <c r="H289" s="13" t="n">
        <v>1</v>
      </c>
      <c r="I289" s="15" t="n">
        <v>750</v>
      </c>
      <c r="J289" s="13" t="s">
        <v>57</v>
      </c>
      <c r="K289" s="13" t="s">
        <v>58</v>
      </c>
      <c r="L289" s="13" t="s">
        <v>36</v>
      </c>
      <c r="M289" s="15" t="n">
        <f aca="false">IF(AND(ISNUMBER(H289),ISNUMBER(I289)),H289*I289,"")</f>
        <v>750</v>
      </c>
    </row>
    <row r="290" customFormat="false" ht="15" hidden="false" customHeight="false" outlineLevel="0" collapsed="false">
      <c r="A290" s="13" t="n">
        <v>1006</v>
      </c>
      <c r="B290" s="14" t="n">
        <v>46194</v>
      </c>
      <c r="C290" s="13" t="s">
        <v>526</v>
      </c>
      <c r="D290" s="13" t="s">
        <v>527</v>
      </c>
      <c r="E290" s="13" t="s">
        <v>25</v>
      </c>
      <c r="F290" s="13" t="s">
        <v>96</v>
      </c>
      <c r="G290" s="13" t="s">
        <v>56</v>
      </c>
      <c r="H290" s="13" t="n">
        <v>1</v>
      </c>
      <c r="I290" s="15"/>
      <c r="J290" s="13" t="s">
        <v>72</v>
      </c>
      <c r="K290" s="13" t="s">
        <v>80</v>
      </c>
      <c r="L290" s="13" t="s">
        <v>34</v>
      </c>
      <c r="M290" s="15" t="str">
        <f aca="false">IF(AND(ISNUMBER(H290),ISNUMBER(I290)),H290*I290,"")</f>
        <v/>
      </c>
    </row>
    <row r="291" customFormat="false" ht="15" hidden="false" customHeight="false" outlineLevel="0" collapsed="false">
      <c r="A291" s="13" t="n">
        <v>1302</v>
      </c>
      <c r="B291" s="14" t="n">
        <v>46214</v>
      </c>
      <c r="C291" s="13" t="s">
        <v>528</v>
      </c>
      <c r="D291" s="13" t="s">
        <v>529</v>
      </c>
      <c r="E291" s="13" t="s">
        <v>25</v>
      </c>
      <c r="F291" s="13" t="s">
        <v>16</v>
      </c>
      <c r="G291" s="13" t="s">
        <v>101</v>
      </c>
      <c r="H291" s="13"/>
      <c r="I291" s="15" t="n">
        <v>1100</v>
      </c>
      <c r="J291" s="13" t="s">
        <v>51</v>
      </c>
      <c r="K291" s="13" t="s">
        <v>75</v>
      </c>
      <c r="L291" s="13" t="s">
        <v>35</v>
      </c>
      <c r="M291" s="15" t="str">
        <f aca="false">IF(AND(ISNUMBER(H291),ISNUMBER(I291)),H291*I291,"")</f>
        <v/>
      </c>
    </row>
    <row r="292" customFormat="false" ht="15" hidden="false" customHeight="false" outlineLevel="0" collapsed="false">
      <c r="A292" s="13" t="n">
        <v>1048</v>
      </c>
      <c r="B292" s="14" t="n">
        <v>46239</v>
      </c>
      <c r="C292" s="13" t="s">
        <v>97</v>
      </c>
      <c r="D292" s="13" t="s">
        <v>530</v>
      </c>
      <c r="E292" s="13" t="s">
        <v>25</v>
      </c>
      <c r="F292" s="13" t="s">
        <v>55</v>
      </c>
      <c r="G292" s="13" t="s">
        <v>56</v>
      </c>
      <c r="H292" s="13" t="n">
        <v>2</v>
      </c>
      <c r="I292" s="15" t="n">
        <v>450</v>
      </c>
      <c r="J292" s="13" t="s">
        <v>57</v>
      </c>
      <c r="K292" s="13" t="s">
        <v>58</v>
      </c>
      <c r="L292" s="13" t="s">
        <v>36</v>
      </c>
      <c r="M292" s="15" t="n">
        <f aca="false">IF(AND(ISNUMBER(H292),ISNUMBER(I292)),H292*I292,"")</f>
        <v>900</v>
      </c>
    </row>
    <row r="293" customFormat="false" ht="15" hidden="false" customHeight="false" outlineLevel="0" collapsed="false">
      <c r="A293" s="13" t="n">
        <v>1413</v>
      </c>
      <c r="B293" s="14" t="n">
        <v>46198</v>
      </c>
      <c r="C293" s="13" t="s">
        <v>220</v>
      </c>
      <c r="D293" s="13" t="s">
        <v>531</v>
      </c>
      <c r="E293" s="13" t="s">
        <v>29</v>
      </c>
      <c r="F293" s="13" t="s">
        <v>131</v>
      </c>
      <c r="G293" s="13" t="s">
        <v>56</v>
      </c>
      <c r="H293" s="13" t="n">
        <v>2</v>
      </c>
      <c r="I293" s="15" t="n">
        <v>180</v>
      </c>
      <c r="J293" s="13" t="s">
        <v>72</v>
      </c>
      <c r="K293" s="13" t="s">
        <v>58</v>
      </c>
      <c r="L293" s="13" t="s">
        <v>34</v>
      </c>
      <c r="M293" s="15" t="n">
        <f aca="false">IF(AND(ISNUMBER(H293),ISNUMBER(I293)),H293*I293,"")</f>
        <v>360</v>
      </c>
    </row>
    <row r="294" customFormat="false" ht="15" hidden="false" customHeight="false" outlineLevel="0" collapsed="false">
      <c r="A294" s="13" t="n">
        <v>1388</v>
      </c>
      <c r="B294" s="14" t="n">
        <v>46228</v>
      </c>
      <c r="C294" s="13" t="s">
        <v>141</v>
      </c>
      <c r="D294" s="13" t="s">
        <v>532</v>
      </c>
      <c r="E294" s="13" t="s">
        <v>26</v>
      </c>
      <c r="F294" s="13" t="s">
        <v>18</v>
      </c>
      <c r="G294" s="13" t="s">
        <v>63</v>
      </c>
      <c r="H294" s="13" t="n">
        <v>1</v>
      </c>
      <c r="I294" s="15" t="n">
        <v>950</v>
      </c>
      <c r="J294" s="13" t="s">
        <v>64</v>
      </c>
      <c r="K294" s="13" t="s">
        <v>58</v>
      </c>
      <c r="L294" s="13" t="s">
        <v>35</v>
      </c>
      <c r="M294" s="15" t="n">
        <f aca="false">IF(AND(ISNUMBER(H294),ISNUMBER(I294)),H294*I294,"")</f>
        <v>950</v>
      </c>
    </row>
    <row r="295" customFormat="false" ht="15" hidden="false" customHeight="false" outlineLevel="0" collapsed="false">
      <c r="A295" s="13" t="n">
        <v>1224</v>
      </c>
      <c r="B295" s="14" t="n">
        <v>46179</v>
      </c>
      <c r="C295" s="13" t="s">
        <v>190</v>
      </c>
      <c r="D295" s="13" t="s">
        <v>533</v>
      </c>
      <c r="E295" s="13" t="s">
        <v>28</v>
      </c>
      <c r="F295" s="13" t="s">
        <v>18</v>
      </c>
      <c r="G295" s="13" t="s">
        <v>63</v>
      </c>
      <c r="H295" s="13" t="n">
        <v>1</v>
      </c>
      <c r="I295" s="15" t="n">
        <v>950</v>
      </c>
      <c r="J295" s="13" t="s">
        <v>72</v>
      </c>
      <c r="K295" s="13" t="s">
        <v>80</v>
      </c>
      <c r="L295" s="13" t="s">
        <v>34</v>
      </c>
      <c r="M295" s="15" t="n">
        <f aca="false">IF(AND(ISNUMBER(H295),ISNUMBER(I295)),H295*I295,"")</f>
        <v>950</v>
      </c>
    </row>
    <row r="296" customFormat="false" ht="15" hidden="false" customHeight="false" outlineLevel="0" collapsed="false">
      <c r="A296" s="13" t="n">
        <v>1176</v>
      </c>
      <c r="B296" s="14" t="n">
        <v>46228</v>
      </c>
      <c r="C296" s="13" t="s">
        <v>534</v>
      </c>
      <c r="D296" s="13" t="s">
        <v>535</v>
      </c>
      <c r="E296" s="13" t="s">
        <v>24</v>
      </c>
      <c r="F296" s="13" t="s">
        <v>17</v>
      </c>
      <c r="G296" s="13" t="s">
        <v>86</v>
      </c>
      <c r="H296" s="13" t="n">
        <v>2</v>
      </c>
      <c r="I296" s="15" t="n">
        <v>900</v>
      </c>
      <c r="J296" s="13" t="s">
        <v>51</v>
      </c>
      <c r="K296" s="13" t="s">
        <v>58</v>
      </c>
      <c r="L296" s="13" t="s">
        <v>35</v>
      </c>
      <c r="M296" s="15" t="n">
        <f aca="false">IF(AND(ISNUMBER(H296),ISNUMBER(I296)),H296*I296,"")</f>
        <v>1800</v>
      </c>
    </row>
    <row r="297" customFormat="false" ht="15" hidden="false" customHeight="false" outlineLevel="0" collapsed="false">
      <c r="A297" s="13" t="n">
        <v>1100</v>
      </c>
      <c r="B297" s="14" t="n">
        <v>46223</v>
      </c>
      <c r="C297" s="13" t="s">
        <v>536</v>
      </c>
      <c r="D297" s="13" t="s">
        <v>537</v>
      </c>
      <c r="E297" s="13" t="s">
        <v>29</v>
      </c>
      <c r="F297" s="13" t="s">
        <v>55</v>
      </c>
      <c r="G297" s="13" t="s">
        <v>56</v>
      </c>
      <c r="H297" s="13" t="n">
        <v>1</v>
      </c>
      <c r="I297" s="15" t="n">
        <v>450</v>
      </c>
      <c r="J297" s="13" t="s">
        <v>57</v>
      </c>
      <c r="K297" s="13" t="s">
        <v>80</v>
      </c>
      <c r="L297" s="13" t="s">
        <v>35</v>
      </c>
      <c r="M297" s="15" t="n">
        <f aca="false">IF(AND(ISNUMBER(H297),ISNUMBER(I297)),H297*I297,"")</f>
        <v>450</v>
      </c>
    </row>
    <row r="298" customFormat="false" ht="15" hidden="false" customHeight="false" outlineLevel="0" collapsed="false">
      <c r="A298" s="13" t="n">
        <v>1434</v>
      </c>
      <c r="B298" s="14" t="n">
        <v>46201</v>
      </c>
      <c r="C298" s="13" t="s">
        <v>153</v>
      </c>
      <c r="D298" s="13" t="s">
        <v>538</v>
      </c>
      <c r="E298" s="13" t="s">
        <v>26</v>
      </c>
      <c r="F298" s="13" t="s">
        <v>17</v>
      </c>
      <c r="G298" s="13" t="s">
        <v>86</v>
      </c>
      <c r="H298" s="13" t="n">
        <v>1</v>
      </c>
      <c r="I298" s="15" t="n">
        <v>900</v>
      </c>
      <c r="J298" s="13" t="s">
        <v>51</v>
      </c>
      <c r="K298" s="13" t="s">
        <v>75</v>
      </c>
      <c r="L298" s="13" t="s">
        <v>34</v>
      </c>
      <c r="M298" s="15" t="n">
        <f aca="false">IF(AND(ISNUMBER(H298),ISNUMBER(I298)),H298*I298,"")</f>
        <v>900</v>
      </c>
    </row>
    <row r="299" customFormat="false" ht="15" hidden="false" customHeight="false" outlineLevel="0" collapsed="false">
      <c r="A299" s="13" t="n">
        <v>1189</v>
      </c>
      <c r="B299" s="14" t="n">
        <v>46207</v>
      </c>
      <c r="C299" s="13" t="s">
        <v>307</v>
      </c>
      <c r="D299" s="13" t="s">
        <v>539</v>
      </c>
      <c r="E299" s="13" t="s">
        <v>30</v>
      </c>
      <c r="F299" s="13" t="s">
        <v>19</v>
      </c>
      <c r="G299" s="13" t="s">
        <v>86</v>
      </c>
      <c r="H299" s="13" t="n">
        <v>1</v>
      </c>
      <c r="I299" s="15"/>
      <c r="J299" s="13" t="s">
        <v>57</v>
      </c>
      <c r="K299" s="13" t="s">
        <v>75</v>
      </c>
      <c r="L299" s="13" t="s">
        <v>35</v>
      </c>
      <c r="M299" s="15" t="str">
        <f aca="false">IF(AND(ISNUMBER(H299),ISNUMBER(I299)),H299*I299,"")</f>
        <v/>
      </c>
    </row>
    <row r="300" customFormat="false" ht="15" hidden="false" customHeight="false" outlineLevel="0" collapsed="false">
      <c r="A300" s="13" t="n">
        <v>1316</v>
      </c>
      <c r="B300" s="14" t="n">
        <v>46262</v>
      </c>
      <c r="C300" s="13" t="s">
        <v>113</v>
      </c>
      <c r="D300" s="13" t="s">
        <v>540</v>
      </c>
      <c r="E300" s="13" t="s">
        <v>29</v>
      </c>
      <c r="F300" s="13" t="s">
        <v>91</v>
      </c>
      <c r="G300" s="13" t="s">
        <v>71</v>
      </c>
      <c r="H300" s="13" t="n">
        <v>3</v>
      </c>
      <c r="I300" s="15" t="n">
        <v>300</v>
      </c>
      <c r="J300" s="13" t="s">
        <v>72</v>
      </c>
      <c r="K300" s="13" t="s">
        <v>58</v>
      </c>
      <c r="L300" s="13" t="s">
        <v>36</v>
      </c>
      <c r="M300" s="15" t="n">
        <f aca="false">IF(AND(ISNUMBER(H300),ISNUMBER(I300)),H300*I300,"")</f>
        <v>900</v>
      </c>
    </row>
    <row r="301" customFormat="false" ht="15" hidden="false" customHeight="false" outlineLevel="0" collapsed="false">
      <c r="A301" s="13" t="n">
        <v>1440</v>
      </c>
      <c r="B301" s="14" t="n">
        <v>46214</v>
      </c>
      <c r="C301" s="13" t="s">
        <v>541</v>
      </c>
      <c r="D301" s="13" t="s">
        <v>542</v>
      </c>
      <c r="E301" s="13" t="s">
        <v>26</v>
      </c>
      <c r="F301" s="13" t="s">
        <v>18</v>
      </c>
      <c r="G301" s="13" t="s">
        <v>63</v>
      </c>
      <c r="H301" s="13" t="n">
        <v>1</v>
      </c>
      <c r="I301" s="15" t="n">
        <v>950</v>
      </c>
      <c r="J301" s="13" t="s">
        <v>57</v>
      </c>
      <c r="K301" s="13" t="s">
        <v>58</v>
      </c>
      <c r="L301" s="13" t="s">
        <v>35</v>
      </c>
      <c r="M301" s="15" t="n">
        <f aca="false">IF(AND(ISNUMBER(H301),ISNUMBER(I301)),H301*I301,"")</f>
        <v>950</v>
      </c>
    </row>
    <row r="302" customFormat="false" ht="15" hidden="false" customHeight="false" outlineLevel="0" collapsed="false">
      <c r="A302" s="13" t="n">
        <v>1060</v>
      </c>
      <c r="B302" s="14" t="n">
        <v>46176</v>
      </c>
      <c r="C302" s="13" t="s">
        <v>368</v>
      </c>
      <c r="D302" s="13" t="s">
        <v>543</v>
      </c>
      <c r="E302" s="13" t="s">
        <v>27</v>
      </c>
      <c r="F302" s="13" t="s">
        <v>19</v>
      </c>
      <c r="G302" s="13" t="s">
        <v>86</v>
      </c>
      <c r="H302" s="13" t="n">
        <v>1</v>
      </c>
      <c r="I302" s="15" t="n">
        <v>750</v>
      </c>
      <c r="J302" s="13" t="s">
        <v>72</v>
      </c>
      <c r="K302" s="13" t="s">
        <v>58</v>
      </c>
      <c r="L302" s="13" t="s">
        <v>34</v>
      </c>
      <c r="M302" s="15" t="n">
        <f aca="false">IF(AND(ISNUMBER(H302),ISNUMBER(I302)),H302*I302,"")</f>
        <v>750</v>
      </c>
    </row>
    <row r="303" customFormat="false" ht="15" hidden="false" customHeight="false" outlineLevel="0" collapsed="false">
      <c r="A303" s="13" t="n">
        <v>1430</v>
      </c>
      <c r="B303" s="14" t="n">
        <v>46176</v>
      </c>
      <c r="C303" s="13" t="s">
        <v>444</v>
      </c>
      <c r="D303" s="13" t="s">
        <v>544</v>
      </c>
      <c r="E303" s="13" t="s">
        <v>28</v>
      </c>
      <c r="F303" s="13" t="s">
        <v>19</v>
      </c>
      <c r="G303" s="13" t="s">
        <v>86</v>
      </c>
      <c r="H303" s="13" t="n">
        <v>1</v>
      </c>
      <c r="I303" s="15" t="n">
        <v>750</v>
      </c>
      <c r="J303" s="13" t="s">
        <v>64</v>
      </c>
      <c r="K303" s="13" t="s">
        <v>58</v>
      </c>
      <c r="L303" s="13" t="s">
        <v>34</v>
      </c>
      <c r="M303" s="15" t="n">
        <f aca="false">IF(AND(ISNUMBER(H303),ISNUMBER(I303)),H303*I303,"")</f>
        <v>750</v>
      </c>
    </row>
    <row r="304" customFormat="false" ht="15" hidden="false" customHeight="false" outlineLevel="0" collapsed="false">
      <c r="A304" s="13" t="n">
        <v>1282</v>
      </c>
      <c r="B304" s="14" t="n">
        <v>46210</v>
      </c>
      <c r="C304" s="13" t="s">
        <v>254</v>
      </c>
      <c r="D304" s="13" t="s">
        <v>545</v>
      </c>
      <c r="E304" s="13" t="s">
        <v>24</v>
      </c>
      <c r="F304" s="13" t="s">
        <v>16</v>
      </c>
      <c r="G304" s="13" t="s">
        <v>101</v>
      </c>
      <c r="H304" s="13" t="n">
        <v>1</v>
      </c>
      <c r="I304" s="15" t="n">
        <v>1100</v>
      </c>
      <c r="J304" s="13" t="s">
        <v>57</v>
      </c>
      <c r="K304" s="13" t="s">
        <v>58</v>
      </c>
      <c r="L304" s="13" t="s">
        <v>35</v>
      </c>
      <c r="M304" s="15" t="n">
        <f aca="false">IF(AND(ISNUMBER(H304),ISNUMBER(I304)),H304*I304,"")</f>
        <v>1100</v>
      </c>
    </row>
    <row r="305" customFormat="false" ht="15" hidden="false" customHeight="false" outlineLevel="0" collapsed="false">
      <c r="A305" s="13" t="n">
        <v>1426</v>
      </c>
      <c r="B305" s="14" t="n">
        <v>46256</v>
      </c>
      <c r="C305" s="13" t="s">
        <v>320</v>
      </c>
      <c r="D305" s="13" t="s">
        <v>546</v>
      </c>
      <c r="E305" s="13" t="s">
        <v>24</v>
      </c>
      <c r="F305" s="13" t="s">
        <v>19</v>
      </c>
      <c r="G305" s="13" t="s">
        <v>86</v>
      </c>
      <c r="H305" s="13" t="n">
        <v>3</v>
      </c>
      <c r="I305" s="15" t="n">
        <v>750</v>
      </c>
      <c r="J305" s="13" t="s">
        <v>57</v>
      </c>
      <c r="K305" s="13" t="s">
        <v>58</v>
      </c>
      <c r="L305" s="13" t="s">
        <v>36</v>
      </c>
      <c r="M305" s="15" t="n">
        <f aca="false">IF(AND(ISNUMBER(H305),ISNUMBER(I305)),H305*I305,"")</f>
        <v>2250</v>
      </c>
    </row>
    <row r="306" customFormat="false" ht="15" hidden="false" customHeight="false" outlineLevel="0" collapsed="false">
      <c r="A306" s="13" t="n">
        <v>1341</v>
      </c>
      <c r="B306" s="14" t="n">
        <v>46233</v>
      </c>
      <c r="C306" s="13" t="s">
        <v>528</v>
      </c>
      <c r="D306" s="13" t="s">
        <v>547</v>
      </c>
      <c r="E306" s="13" t="s">
        <v>24</v>
      </c>
      <c r="F306" s="13" t="s">
        <v>55</v>
      </c>
      <c r="G306" s="13" t="s">
        <v>56</v>
      </c>
      <c r="H306" s="13" t="n">
        <v>1</v>
      </c>
      <c r="I306" s="15" t="n">
        <v>450</v>
      </c>
      <c r="J306" s="13" t="s">
        <v>51</v>
      </c>
      <c r="K306" s="13" t="s">
        <v>52</v>
      </c>
      <c r="L306" s="13" t="s">
        <v>35</v>
      </c>
      <c r="M306" s="15" t="n">
        <f aca="false">IF(AND(ISNUMBER(H306),ISNUMBER(I306)),H306*I306,"")</f>
        <v>450</v>
      </c>
    </row>
    <row r="307" customFormat="false" ht="15" hidden="false" customHeight="false" outlineLevel="0" collapsed="false">
      <c r="A307" s="13" t="n">
        <v>1065</v>
      </c>
      <c r="B307" s="14" t="n">
        <v>46259</v>
      </c>
      <c r="C307" s="13" t="s">
        <v>476</v>
      </c>
      <c r="D307" s="13" t="s">
        <v>68</v>
      </c>
      <c r="E307" s="13" t="s">
        <v>25</v>
      </c>
      <c r="F307" s="13" t="s">
        <v>49</v>
      </c>
      <c r="G307" s="13" t="s">
        <v>50</v>
      </c>
      <c r="H307" s="13" t="n">
        <v>1</v>
      </c>
      <c r="I307" s="15" t="n">
        <v>120</v>
      </c>
      <c r="J307" s="13" t="s">
        <v>64</v>
      </c>
      <c r="K307" s="13" t="s">
        <v>58</v>
      </c>
      <c r="L307" s="13" t="s">
        <v>36</v>
      </c>
      <c r="M307" s="15" t="n">
        <f aca="false">IF(AND(ISNUMBER(H307),ISNUMBER(I307)),H307*I307,"")</f>
        <v>120</v>
      </c>
    </row>
    <row r="308" customFormat="false" ht="15" hidden="false" customHeight="false" outlineLevel="0" collapsed="false">
      <c r="A308" s="13" t="n">
        <v>1194</v>
      </c>
      <c r="B308" s="14" t="n">
        <v>46208</v>
      </c>
      <c r="C308" s="13" t="s">
        <v>307</v>
      </c>
      <c r="D308" s="13" t="s">
        <v>548</v>
      </c>
      <c r="E308" s="13" t="s">
        <v>25</v>
      </c>
      <c r="F308" s="13" t="s">
        <v>20</v>
      </c>
      <c r="G308" s="13" t="s">
        <v>71</v>
      </c>
      <c r="H308" s="13" t="n">
        <v>2</v>
      </c>
      <c r="I308" s="15" t="n">
        <v>550</v>
      </c>
      <c r="J308" s="13" t="s">
        <v>72</v>
      </c>
      <c r="K308" s="13" t="s">
        <v>52</v>
      </c>
      <c r="L308" s="13" t="s">
        <v>35</v>
      </c>
      <c r="M308" s="15" t="n">
        <f aca="false">IF(AND(ISNUMBER(H308),ISNUMBER(I308)),H308*I308,"")</f>
        <v>1100</v>
      </c>
    </row>
    <row r="309" customFormat="false" ht="15" hidden="false" customHeight="false" outlineLevel="0" collapsed="false">
      <c r="A309" s="13" t="n">
        <v>1199</v>
      </c>
      <c r="B309" s="14" t="n">
        <v>46263</v>
      </c>
      <c r="C309" s="13" t="s">
        <v>549</v>
      </c>
      <c r="D309" s="13" t="s">
        <v>550</v>
      </c>
      <c r="E309" s="13" t="s">
        <v>30</v>
      </c>
      <c r="F309" s="13" t="s">
        <v>16</v>
      </c>
      <c r="G309" s="13" t="s">
        <v>101</v>
      </c>
      <c r="H309" s="13" t="n">
        <v>1</v>
      </c>
      <c r="I309" s="15" t="n">
        <v>1100</v>
      </c>
      <c r="J309" s="13" t="s">
        <v>57</v>
      </c>
      <c r="K309" s="13" t="s">
        <v>58</v>
      </c>
      <c r="L309" s="13" t="s">
        <v>36</v>
      </c>
      <c r="M309" s="15" t="n">
        <f aca="false">IF(AND(ISNUMBER(H309),ISNUMBER(I309)),H309*I309,"")</f>
        <v>1100</v>
      </c>
    </row>
    <row r="310" customFormat="false" ht="15" hidden="false" customHeight="false" outlineLevel="0" collapsed="false">
      <c r="A310" s="13" t="n">
        <v>1412</v>
      </c>
      <c r="B310" s="14" t="n">
        <v>46264</v>
      </c>
      <c r="C310" s="13" t="s">
        <v>551</v>
      </c>
      <c r="D310" s="13" t="s">
        <v>552</v>
      </c>
      <c r="E310" s="13" t="s">
        <v>25</v>
      </c>
      <c r="F310" s="13" t="s">
        <v>49</v>
      </c>
      <c r="G310" s="13" t="s">
        <v>50</v>
      </c>
      <c r="H310" s="13" t="n">
        <v>1</v>
      </c>
      <c r="I310" s="15" t="n">
        <v>120</v>
      </c>
      <c r="J310" s="13" t="s">
        <v>64</v>
      </c>
      <c r="K310" s="13" t="s">
        <v>80</v>
      </c>
      <c r="L310" s="13" t="s">
        <v>36</v>
      </c>
      <c r="M310" s="15" t="n">
        <f aca="false">IF(AND(ISNUMBER(H310),ISNUMBER(I310)),H310*I310,"")</f>
        <v>120</v>
      </c>
    </row>
    <row r="311" customFormat="false" ht="15" hidden="false" customHeight="false" outlineLevel="0" collapsed="false">
      <c r="A311" s="13" t="n">
        <v>1247</v>
      </c>
      <c r="B311" s="14" t="n">
        <v>46193</v>
      </c>
      <c r="C311" s="13" t="s">
        <v>504</v>
      </c>
      <c r="D311" s="13" t="s">
        <v>553</v>
      </c>
      <c r="E311" s="13" t="s">
        <v>24</v>
      </c>
      <c r="F311" s="13" t="s">
        <v>96</v>
      </c>
      <c r="G311" s="13" t="s">
        <v>56</v>
      </c>
      <c r="H311" s="13" t="n">
        <v>1</v>
      </c>
      <c r="I311" s="15" t="n">
        <v>320</v>
      </c>
      <c r="J311" s="13" t="s">
        <v>64</v>
      </c>
      <c r="K311" s="13" t="s">
        <v>58</v>
      </c>
      <c r="L311" s="13" t="s">
        <v>34</v>
      </c>
      <c r="M311" s="15" t="n">
        <f aca="false">IF(AND(ISNUMBER(H311),ISNUMBER(I311)),H311*I311,"")</f>
        <v>320</v>
      </c>
    </row>
    <row r="312" customFormat="false" ht="15" hidden="false" customHeight="false" outlineLevel="0" collapsed="false">
      <c r="A312" s="13" t="n">
        <v>1353</v>
      </c>
      <c r="B312" s="14" t="n">
        <v>46265</v>
      </c>
      <c r="C312" s="13" t="s">
        <v>490</v>
      </c>
      <c r="D312" s="13" t="s">
        <v>554</v>
      </c>
      <c r="E312" s="13" t="s">
        <v>25</v>
      </c>
      <c r="F312" s="13" t="s">
        <v>17</v>
      </c>
      <c r="G312" s="13" t="s">
        <v>86</v>
      </c>
      <c r="H312" s="13" t="n">
        <v>2</v>
      </c>
      <c r="I312" s="15" t="n">
        <v>900</v>
      </c>
      <c r="J312" s="13" t="s">
        <v>57</v>
      </c>
      <c r="K312" s="13" t="s">
        <v>52</v>
      </c>
      <c r="L312" s="13" t="s">
        <v>36</v>
      </c>
      <c r="M312" s="15" t="n">
        <f aca="false">IF(AND(ISNUMBER(H312),ISNUMBER(I312)),H312*I312,"")</f>
        <v>1800</v>
      </c>
    </row>
    <row r="313" customFormat="false" ht="15" hidden="false" customHeight="false" outlineLevel="0" collapsed="false">
      <c r="A313" s="13" t="n">
        <v>1010</v>
      </c>
      <c r="B313" s="14" t="n">
        <v>46195</v>
      </c>
      <c r="C313" s="13" t="s">
        <v>115</v>
      </c>
      <c r="D313" s="13" t="s">
        <v>555</v>
      </c>
      <c r="E313" s="13" t="s">
        <v>26</v>
      </c>
      <c r="F313" s="13" t="s">
        <v>19</v>
      </c>
      <c r="G313" s="13" t="s">
        <v>86</v>
      </c>
      <c r="H313" s="13" t="n">
        <v>3</v>
      </c>
      <c r="I313" s="15" t="n">
        <v>750</v>
      </c>
      <c r="J313" s="13" t="s">
        <v>64</v>
      </c>
      <c r="K313" s="13" t="s">
        <v>75</v>
      </c>
      <c r="L313" s="13" t="s">
        <v>34</v>
      </c>
      <c r="M313" s="15" t="n">
        <f aca="false">IF(AND(ISNUMBER(H313),ISNUMBER(I313)),H313*I313,"")</f>
        <v>2250</v>
      </c>
    </row>
    <row r="314" customFormat="false" ht="15" hidden="false" customHeight="false" outlineLevel="0" collapsed="false">
      <c r="A314" s="13" t="n">
        <v>1195</v>
      </c>
      <c r="B314" s="14" t="n">
        <v>46206</v>
      </c>
      <c r="C314" s="13" t="s">
        <v>549</v>
      </c>
      <c r="D314" s="13" t="s">
        <v>556</v>
      </c>
      <c r="E314" s="13" t="s">
        <v>25</v>
      </c>
      <c r="F314" s="13" t="s">
        <v>55</v>
      </c>
      <c r="G314" s="13" t="s">
        <v>56</v>
      </c>
      <c r="H314" s="13" t="n">
        <v>1</v>
      </c>
      <c r="I314" s="15" t="n">
        <v>450</v>
      </c>
      <c r="J314" s="13" t="s">
        <v>51</v>
      </c>
      <c r="K314" s="13" t="s">
        <v>75</v>
      </c>
      <c r="L314" s="13" t="s">
        <v>35</v>
      </c>
      <c r="M314" s="15" t="n">
        <f aca="false">IF(AND(ISNUMBER(H314),ISNUMBER(I314)),H314*I314,"")</f>
        <v>450</v>
      </c>
    </row>
    <row r="315" customFormat="false" ht="15" hidden="false" customHeight="false" outlineLevel="0" collapsed="false">
      <c r="A315" s="13" t="n">
        <v>1312</v>
      </c>
      <c r="B315" s="14" t="n">
        <v>46224</v>
      </c>
      <c r="C315" s="13" t="s">
        <v>220</v>
      </c>
      <c r="D315" s="13" t="s">
        <v>557</v>
      </c>
      <c r="E315" s="13" t="s">
        <v>25</v>
      </c>
      <c r="F315" s="13" t="s">
        <v>91</v>
      </c>
      <c r="G315" s="13" t="s">
        <v>71</v>
      </c>
      <c r="H315" s="13" t="n">
        <v>1</v>
      </c>
      <c r="I315" s="15" t="n">
        <v>300</v>
      </c>
      <c r="J315" s="13" t="s">
        <v>72</v>
      </c>
      <c r="K315" s="13" t="s">
        <v>75</v>
      </c>
      <c r="L315" s="13" t="s">
        <v>35</v>
      </c>
      <c r="M315" s="15" t="n">
        <f aca="false">IF(AND(ISNUMBER(H315),ISNUMBER(I315)),H315*I315,"")</f>
        <v>300</v>
      </c>
    </row>
    <row r="316" customFormat="false" ht="15" hidden="false" customHeight="false" outlineLevel="0" collapsed="false">
      <c r="A316" s="13" t="n">
        <v>1014</v>
      </c>
      <c r="B316" s="14" t="n">
        <v>46193</v>
      </c>
      <c r="C316" s="13" t="s">
        <v>558</v>
      </c>
      <c r="D316" s="13" t="s">
        <v>68</v>
      </c>
      <c r="E316" s="13" t="s">
        <v>25</v>
      </c>
      <c r="F316" s="13" t="s">
        <v>55</v>
      </c>
      <c r="G316" s="13" t="s">
        <v>56</v>
      </c>
      <c r="H316" s="13" t="n">
        <v>2</v>
      </c>
      <c r="I316" s="15" t="n">
        <v>450</v>
      </c>
      <c r="J316" s="13" t="s">
        <v>64</v>
      </c>
      <c r="K316" s="13" t="s">
        <v>58</v>
      </c>
      <c r="L316" s="13" t="s">
        <v>34</v>
      </c>
      <c r="M316" s="15" t="n">
        <f aca="false">IF(AND(ISNUMBER(H316),ISNUMBER(I316)),H316*I316,"")</f>
        <v>900</v>
      </c>
    </row>
    <row r="317" customFormat="false" ht="15" hidden="false" customHeight="false" outlineLevel="0" collapsed="false">
      <c r="A317" s="13" t="n">
        <v>1029</v>
      </c>
      <c r="B317" s="14" t="n">
        <v>46186</v>
      </c>
      <c r="C317" s="13" t="s">
        <v>559</v>
      </c>
      <c r="D317" s="13" t="s">
        <v>560</v>
      </c>
      <c r="E317" s="13"/>
      <c r="F317" s="13" t="s">
        <v>18</v>
      </c>
      <c r="G317" s="13" t="s">
        <v>63</v>
      </c>
      <c r="H317" s="13" t="n">
        <v>1</v>
      </c>
      <c r="I317" s="15" t="n">
        <v>950</v>
      </c>
      <c r="J317" s="13" t="s">
        <v>72</v>
      </c>
      <c r="K317" s="13" t="s">
        <v>58</v>
      </c>
      <c r="L317" s="13" t="s">
        <v>34</v>
      </c>
      <c r="M317" s="15" t="n">
        <f aca="false">IF(AND(ISNUMBER(H317),ISNUMBER(I317)),H317*I317,"")</f>
        <v>950</v>
      </c>
    </row>
    <row r="318" customFormat="false" ht="15" hidden="false" customHeight="false" outlineLevel="0" collapsed="false">
      <c r="A318" s="13" t="n">
        <v>1011</v>
      </c>
      <c r="B318" s="14" t="n">
        <v>46239</v>
      </c>
      <c r="C318" s="13" t="s">
        <v>561</v>
      </c>
      <c r="D318" s="13" t="s">
        <v>562</v>
      </c>
      <c r="E318" s="13" t="s">
        <v>26</v>
      </c>
      <c r="F318" s="13" t="s">
        <v>96</v>
      </c>
      <c r="G318" s="13" t="s">
        <v>56</v>
      </c>
      <c r="H318" s="13" t="n">
        <v>1</v>
      </c>
      <c r="I318" s="15" t="n">
        <v>320</v>
      </c>
      <c r="J318" s="13" t="s">
        <v>72</v>
      </c>
      <c r="K318" s="13" t="s">
        <v>58</v>
      </c>
      <c r="L318" s="13" t="s">
        <v>36</v>
      </c>
      <c r="M318" s="15" t="n">
        <f aca="false">IF(AND(ISNUMBER(H318),ISNUMBER(I318)),H318*I318,"")</f>
        <v>320</v>
      </c>
    </row>
    <row r="319" customFormat="false" ht="15" hidden="false" customHeight="false" outlineLevel="0" collapsed="false">
      <c r="A319" s="13" t="n">
        <v>1117</v>
      </c>
      <c r="B319" s="14" t="n">
        <v>46203</v>
      </c>
      <c r="C319" s="13" t="s">
        <v>563</v>
      </c>
      <c r="D319" s="13" t="s">
        <v>564</v>
      </c>
      <c r="E319" s="13" t="s">
        <v>24</v>
      </c>
      <c r="F319" s="13" t="s">
        <v>91</v>
      </c>
      <c r="G319" s="13" t="s">
        <v>71</v>
      </c>
      <c r="H319" s="13" t="n">
        <v>2</v>
      </c>
      <c r="I319" s="15" t="n">
        <v>300</v>
      </c>
      <c r="J319" s="13" t="s">
        <v>57</v>
      </c>
      <c r="K319" s="13" t="s">
        <v>52</v>
      </c>
      <c r="L319" s="13" t="s">
        <v>34</v>
      </c>
      <c r="M319" s="15" t="n">
        <f aca="false">IF(AND(ISNUMBER(H319),ISNUMBER(I319)),H319*I319,"")</f>
        <v>600</v>
      </c>
    </row>
    <row r="320" customFormat="false" ht="15" hidden="false" customHeight="false" outlineLevel="0" collapsed="false">
      <c r="A320" s="13" t="n">
        <v>1156</v>
      </c>
      <c r="B320" s="14" t="n">
        <v>46211</v>
      </c>
      <c r="C320" s="13" t="s">
        <v>453</v>
      </c>
      <c r="D320" s="13" t="s">
        <v>565</v>
      </c>
      <c r="E320" s="13" t="s">
        <v>25</v>
      </c>
      <c r="F320" s="13" t="s">
        <v>17</v>
      </c>
      <c r="G320" s="13" t="s">
        <v>86</v>
      </c>
      <c r="H320" s="13" t="n">
        <v>2</v>
      </c>
      <c r="I320" s="15"/>
      <c r="J320" s="13" t="s">
        <v>72</v>
      </c>
      <c r="K320" s="13" t="s">
        <v>58</v>
      </c>
      <c r="L320" s="13" t="s">
        <v>35</v>
      </c>
      <c r="M320" s="15" t="str">
        <f aca="false">IF(AND(ISNUMBER(H320),ISNUMBER(I320)),H320*I320,"")</f>
        <v/>
      </c>
    </row>
    <row r="321" customFormat="false" ht="15" hidden="false" customHeight="false" outlineLevel="0" collapsed="false">
      <c r="A321" s="13" t="n">
        <v>1245</v>
      </c>
      <c r="B321" s="14" t="n">
        <v>46234</v>
      </c>
      <c r="C321" s="13" t="s">
        <v>216</v>
      </c>
      <c r="D321" s="13" t="s">
        <v>566</v>
      </c>
      <c r="E321" s="13" t="s">
        <v>26</v>
      </c>
      <c r="F321" s="13" t="s">
        <v>16</v>
      </c>
      <c r="G321" s="13" t="s">
        <v>101</v>
      </c>
      <c r="H321" s="13" t="n">
        <v>1</v>
      </c>
      <c r="I321" s="15" t="n">
        <v>1100</v>
      </c>
      <c r="J321" s="13" t="s">
        <v>72</v>
      </c>
      <c r="K321" s="13" t="s">
        <v>75</v>
      </c>
      <c r="L321" s="13" t="s">
        <v>35</v>
      </c>
      <c r="M321" s="15" t="n">
        <f aca="false">IF(AND(ISNUMBER(H321),ISNUMBER(I321)),H321*I321,"")</f>
        <v>1100</v>
      </c>
    </row>
    <row r="322" customFormat="false" ht="15" hidden="false" customHeight="false" outlineLevel="0" collapsed="false">
      <c r="A322" s="13" t="n">
        <v>1221</v>
      </c>
      <c r="B322" s="14" t="n">
        <v>46214</v>
      </c>
      <c r="C322" s="13" t="s">
        <v>567</v>
      </c>
      <c r="D322" s="13" t="s">
        <v>568</v>
      </c>
      <c r="E322" s="13" t="s">
        <v>25</v>
      </c>
      <c r="F322" s="13" t="s">
        <v>55</v>
      </c>
      <c r="G322" s="13" t="s">
        <v>56</v>
      </c>
      <c r="H322" s="13" t="n">
        <v>2</v>
      </c>
      <c r="I322" s="15" t="n">
        <v>450</v>
      </c>
      <c r="J322" s="13" t="s">
        <v>51</v>
      </c>
      <c r="K322" s="13" t="s">
        <v>75</v>
      </c>
      <c r="L322" s="13" t="s">
        <v>35</v>
      </c>
      <c r="M322" s="15" t="n">
        <f aca="false">IF(AND(ISNUMBER(H322),ISNUMBER(I322)),H322*I322,"")</f>
        <v>900</v>
      </c>
    </row>
    <row r="323" customFormat="false" ht="15" hidden="false" customHeight="false" outlineLevel="0" collapsed="false">
      <c r="A323" s="13" t="n">
        <v>1180</v>
      </c>
      <c r="B323" s="14" t="n">
        <v>46202</v>
      </c>
      <c r="C323" s="13" t="s">
        <v>569</v>
      </c>
      <c r="D323" s="13" t="s">
        <v>570</v>
      </c>
      <c r="E323" s="13" t="s">
        <v>25</v>
      </c>
      <c r="F323" s="13" t="s">
        <v>18</v>
      </c>
      <c r="G323" s="13" t="s">
        <v>63</v>
      </c>
      <c r="H323" s="13" t="n">
        <v>1</v>
      </c>
      <c r="I323" s="15" t="n">
        <v>950</v>
      </c>
      <c r="J323" s="13" t="s">
        <v>64</v>
      </c>
      <c r="K323" s="13" t="s">
        <v>58</v>
      </c>
      <c r="L323" s="13" t="s">
        <v>34</v>
      </c>
      <c r="M323" s="15" t="n">
        <f aca="false">IF(AND(ISNUMBER(H323),ISNUMBER(I323)),H323*I323,"")</f>
        <v>950</v>
      </c>
    </row>
    <row r="324" customFormat="false" ht="15" hidden="false" customHeight="false" outlineLevel="0" collapsed="false">
      <c r="A324" s="13" t="n">
        <v>1333</v>
      </c>
      <c r="B324" s="14" t="n">
        <v>46257</v>
      </c>
      <c r="C324" s="13" t="s">
        <v>569</v>
      </c>
      <c r="D324" s="13" t="s">
        <v>571</v>
      </c>
      <c r="E324" s="13" t="s">
        <v>26</v>
      </c>
      <c r="F324" s="13" t="s">
        <v>18</v>
      </c>
      <c r="G324" s="13" t="s">
        <v>63</v>
      </c>
      <c r="H324" s="13" t="n">
        <v>1</v>
      </c>
      <c r="I324" s="15" t="n">
        <v>950</v>
      </c>
      <c r="J324" s="13" t="s">
        <v>64</v>
      </c>
      <c r="K324" s="13" t="s">
        <v>58</v>
      </c>
      <c r="L324" s="13" t="s">
        <v>36</v>
      </c>
      <c r="M324" s="15" t="n">
        <f aca="false">IF(AND(ISNUMBER(H324),ISNUMBER(I324)),H324*I324,"")</f>
        <v>950</v>
      </c>
    </row>
    <row r="325" customFormat="false" ht="15" hidden="false" customHeight="false" outlineLevel="0" collapsed="false">
      <c r="A325" s="13" t="n">
        <v>1260</v>
      </c>
      <c r="B325" s="14" t="n">
        <v>46196</v>
      </c>
      <c r="C325" s="13" t="s">
        <v>148</v>
      </c>
      <c r="D325" s="13" t="s">
        <v>572</v>
      </c>
      <c r="E325" s="13" t="s">
        <v>25</v>
      </c>
      <c r="F325" s="13" t="s">
        <v>131</v>
      </c>
      <c r="G325" s="13" t="s">
        <v>56</v>
      </c>
      <c r="H325" s="13" t="n">
        <v>3</v>
      </c>
      <c r="I325" s="15" t="n">
        <v>180</v>
      </c>
      <c r="J325" s="13" t="s">
        <v>57</v>
      </c>
      <c r="K325" s="13" t="s">
        <v>58</v>
      </c>
      <c r="L325" s="13" t="s">
        <v>34</v>
      </c>
      <c r="M325" s="15" t="n">
        <f aca="false">IF(AND(ISNUMBER(H325),ISNUMBER(I325)),H325*I325,"")</f>
        <v>540</v>
      </c>
    </row>
    <row r="326" customFormat="false" ht="15" hidden="false" customHeight="false" outlineLevel="0" collapsed="false">
      <c r="A326" s="13" t="n">
        <v>1442</v>
      </c>
      <c r="B326" s="14" t="n">
        <v>46198</v>
      </c>
      <c r="C326" s="13" t="s">
        <v>175</v>
      </c>
      <c r="D326" s="13" t="s">
        <v>573</v>
      </c>
      <c r="E326" s="13" t="s">
        <v>25</v>
      </c>
      <c r="F326" s="13" t="s">
        <v>19</v>
      </c>
      <c r="G326" s="13" t="s">
        <v>86</v>
      </c>
      <c r="H326" s="13" t="n">
        <v>1</v>
      </c>
      <c r="I326" s="15" t="n">
        <v>750</v>
      </c>
      <c r="J326" s="13" t="s">
        <v>64</v>
      </c>
      <c r="K326" s="13" t="s">
        <v>75</v>
      </c>
      <c r="L326" s="13" t="s">
        <v>34</v>
      </c>
      <c r="M326" s="15" t="n">
        <f aca="false">IF(AND(ISNUMBER(H326),ISNUMBER(I326)),H326*I326,"")</f>
        <v>750</v>
      </c>
    </row>
    <row r="327" customFormat="false" ht="15" hidden="false" customHeight="false" outlineLevel="0" collapsed="false">
      <c r="A327" s="13" t="n">
        <v>1403</v>
      </c>
      <c r="B327" s="14" t="n">
        <v>46229</v>
      </c>
      <c r="C327" s="13" t="s">
        <v>574</v>
      </c>
      <c r="D327" s="13" t="s">
        <v>68</v>
      </c>
      <c r="E327" s="13" t="s">
        <v>25</v>
      </c>
      <c r="F327" s="13" t="s">
        <v>96</v>
      </c>
      <c r="G327" s="13" t="s">
        <v>56</v>
      </c>
      <c r="H327" s="13" t="n">
        <v>1</v>
      </c>
      <c r="I327" s="15" t="n">
        <v>320</v>
      </c>
      <c r="J327" s="13" t="s">
        <v>64</v>
      </c>
      <c r="K327" s="13" t="s">
        <v>80</v>
      </c>
      <c r="L327" s="13" t="s">
        <v>35</v>
      </c>
      <c r="M327" s="15" t="n">
        <f aca="false">IF(AND(ISNUMBER(H327),ISNUMBER(I327)),H327*I327,"")</f>
        <v>320</v>
      </c>
    </row>
    <row r="328" customFormat="false" ht="15" hidden="false" customHeight="false" outlineLevel="0" collapsed="false">
      <c r="A328" s="13" t="n">
        <v>1054</v>
      </c>
      <c r="B328" s="14" t="n">
        <v>46222</v>
      </c>
      <c r="C328" s="13" t="s">
        <v>575</v>
      </c>
      <c r="D328" s="13" t="s">
        <v>576</v>
      </c>
      <c r="E328" s="13"/>
      <c r="F328" s="13" t="s">
        <v>19</v>
      </c>
      <c r="G328" s="13" t="s">
        <v>86</v>
      </c>
      <c r="H328" s="13" t="n">
        <v>1</v>
      </c>
      <c r="I328" s="15" t="n">
        <v>750</v>
      </c>
      <c r="J328" s="13" t="s">
        <v>57</v>
      </c>
      <c r="K328" s="13" t="s">
        <v>52</v>
      </c>
      <c r="L328" s="13" t="s">
        <v>35</v>
      </c>
      <c r="M328" s="15" t="n">
        <f aca="false">IF(AND(ISNUMBER(H328),ISNUMBER(I328)),H328*I328,"")</f>
        <v>750</v>
      </c>
    </row>
    <row r="329" customFormat="false" ht="15" hidden="false" customHeight="false" outlineLevel="0" collapsed="false">
      <c r="A329" s="13" t="n">
        <v>1022</v>
      </c>
      <c r="B329" s="14" t="n">
        <v>46222</v>
      </c>
      <c r="C329" s="13" t="s">
        <v>577</v>
      </c>
      <c r="D329" s="13" t="s">
        <v>578</v>
      </c>
      <c r="E329" s="13" t="s">
        <v>26</v>
      </c>
      <c r="F329" s="13" t="s">
        <v>131</v>
      </c>
      <c r="G329" s="13" t="s">
        <v>56</v>
      </c>
      <c r="H329" s="13" t="n">
        <v>2</v>
      </c>
      <c r="I329" s="15" t="n">
        <v>180</v>
      </c>
      <c r="J329" s="13" t="s">
        <v>72</v>
      </c>
      <c r="K329" s="13" t="s">
        <v>58</v>
      </c>
      <c r="L329" s="13" t="s">
        <v>35</v>
      </c>
      <c r="M329" s="15" t="n">
        <f aca="false">IF(AND(ISNUMBER(H329),ISNUMBER(I329)),H329*I329,"")</f>
        <v>360</v>
      </c>
    </row>
    <row r="330" customFormat="false" ht="15" hidden="false" customHeight="false" outlineLevel="0" collapsed="false">
      <c r="A330" s="13" t="n">
        <v>1139</v>
      </c>
      <c r="B330" s="14" t="n">
        <v>46220</v>
      </c>
      <c r="C330" s="13" t="s">
        <v>363</v>
      </c>
      <c r="D330" s="13" t="s">
        <v>579</v>
      </c>
      <c r="E330" s="13" t="s">
        <v>24</v>
      </c>
      <c r="F330" s="13" t="s">
        <v>55</v>
      </c>
      <c r="G330" s="13" t="s">
        <v>56</v>
      </c>
      <c r="H330" s="13" t="n">
        <v>1</v>
      </c>
      <c r="I330" s="15" t="n">
        <v>450</v>
      </c>
      <c r="J330" s="13" t="s">
        <v>57</v>
      </c>
      <c r="K330" s="13" t="s">
        <v>58</v>
      </c>
      <c r="L330" s="13" t="s">
        <v>35</v>
      </c>
      <c r="M330" s="15" t="n">
        <f aca="false">IF(AND(ISNUMBER(H330),ISNUMBER(I330)),H330*I330,"")</f>
        <v>450</v>
      </c>
    </row>
    <row r="331" customFormat="false" ht="15" hidden="false" customHeight="false" outlineLevel="0" collapsed="false">
      <c r="A331" s="13" t="n">
        <v>1067</v>
      </c>
      <c r="B331" s="14" t="n">
        <v>46219</v>
      </c>
      <c r="C331" s="13" t="s">
        <v>104</v>
      </c>
      <c r="D331" s="13" t="s">
        <v>580</v>
      </c>
      <c r="E331" s="13" t="s">
        <v>25</v>
      </c>
      <c r="F331" s="13" t="s">
        <v>131</v>
      </c>
      <c r="G331" s="13" t="s">
        <v>56</v>
      </c>
      <c r="H331" s="13" t="n">
        <v>1</v>
      </c>
      <c r="I331" s="15" t="n">
        <v>180</v>
      </c>
      <c r="J331" s="13" t="s">
        <v>72</v>
      </c>
      <c r="K331" s="13" t="s">
        <v>58</v>
      </c>
      <c r="L331" s="13" t="s">
        <v>35</v>
      </c>
      <c r="M331" s="15" t="n">
        <f aca="false">IF(AND(ISNUMBER(H331),ISNUMBER(I331)),H331*I331,"")</f>
        <v>180</v>
      </c>
    </row>
    <row r="332" customFormat="false" ht="15" hidden="false" customHeight="false" outlineLevel="0" collapsed="false">
      <c r="A332" s="13" t="n">
        <v>1246</v>
      </c>
      <c r="B332" s="14" t="n">
        <v>46183</v>
      </c>
      <c r="C332" s="13" t="s">
        <v>581</v>
      </c>
      <c r="D332" s="13" t="s">
        <v>582</v>
      </c>
      <c r="E332" s="13" t="s">
        <v>29</v>
      </c>
      <c r="F332" s="13" t="s">
        <v>131</v>
      </c>
      <c r="G332" s="13" t="s">
        <v>56</v>
      </c>
      <c r="H332" s="13" t="n">
        <v>1</v>
      </c>
      <c r="I332" s="15" t="n">
        <v>180</v>
      </c>
      <c r="J332" s="13" t="s">
        <v>64</v>
      </c>
      <c r="K332" s="13" t="s">
        <v>58</v>
      </c>
      <c r="L332" s="13" t="s">
        <v>34</v>
      </c>
      <c r="M332" s="15" t="n">
        <f aca="false">IF(AND(ISNUMBER(H332),ISNUMBER(I332)),H332*I332,"")</f>
        <v>180</v>
      </c>
    </row>
    <row r="333" customFormat="false" ht="15" hidden="false" customHeight="false" outlineLevel="0" collapsed="false">
      <c r="A333" s="13" t="n">
        <v>1283</v>
      </c>
      <c r="B333" s="14" t="n">
        <v>46187</v>
      </c>
      <c r="C333" s="13" t="s">
        <v>468</v>
      </c>
      <c r="D333" s="13" t="s">
        <v>583</v>
      </c>
      <c r="E333" s="13" t="s">
        <v>26</v>
      </c>
      <c r="F333" s="13" t="s">
        <v>55</v>
      </c>
      <c r="G333" s="13" t="s">
        <v>56</v>
      </c>
      <c r="H333" s="13" t="n">
        <v>2</v>
      </c>
      <c r="I333" s="15" t="n">
        <v>450</v>
      </c>
      <c r="J333" s="13" t="s">
        <v>51</v>
      </c>
      <c r="K333" s="13" t="s">
        <v>80</v>
      </c>
      <c r="L333" s="13" t="s">
        <v>34</v>
      </c>
      <c r="M333" s="15" t="n">
        <f aca="false">IF(AND(ISNUMBER(H333),ISNUMBER(I333)),H333*I333,"")</f>
        <v>900</v>
      </c>
    </row>
    <row r="334" customFormat="false" ht="15" hidden="false" customHeight="false" outlineLevel="0" collapsed="false">
      <c r="A334" s="13" t="n">
        <v>1042</v>
      </c>
      <c r="B334" s="14" t="n">
        <v>46210</v>
      </c>
      <c r="C334" s="13" t="s">
        <v>237</v>
      </c>
      <c r="D334" s="13" t="s">
        <v>584</v>
      </c>
      <c r="E334" s="13" t="s">
        <v>29</v>
      </c>
      <c r="F334" s="13" t="s">
        <v>49</v>
      </c>
      <c r="G334" s="13" t="s">
        <v>50</v>
      </c>
      <c r="H334" s="13" t="n">
        <v>2</v>
      </c>
      <c r="I334" s="15" t="n">
        <v>120</v>
      </c>
      <c r="J334" s="13" t="s">
        <v>64</v>
      </c>
      <c r="K334" s="13" t="s">
        <v>58</v>
      </c>
      <c r="L334" s="13" t="s">
        <v>35</v>
      </c>
      <c r="M334" s="15" t="n">
        <f aca="false">IF(AND(ISNUMBER(H334),ISNUMBER(I334)),H334*I334,"")</f>
        <v>240</v>
      </c>
    </row>
    <row r="335" customFormat="false" ht="15" hidden="false" customHeight="false" outlineLevel="0" collapsed="false">
      <c r="A335" s="13" t="n">
        <v>1314</v>
      </c>
      <c r="B335" s="14" t="n">
        <v>46265</v>
      </c>
      <c r="C335" s="13" t="s">
        <v>416</v>
      </c>
      <c r="D335" s="13" t="s">
        <v>585</v>
      </c>
      <c r="E335" s="13" t="s">
        <v>28</v>
      </c>
      <c r="F335" s="13" t="s">
        <v>96</v>
      </c>
      <c r="G335" s="13" t="s">
        <v>56</v>
      </c>
      <c r="H335" s="13" t="n">
        <v>3</v>
      </c>
      <c r="I335" s="15" t="n">
        <v>320</v>
      </c>
      <c r="J335" s="13" t="s">
        <v>64</v>
      </c>
      <c r="K335" s="13" t="s">
        <v>58</v>
      </c>
      <c r="L335" s="13" t="s">
        <v>36</v>
      </c>
      <c r="M335" s="15" t="n">
        <f aca="false">IF(AND(ISNUMBER(H335),ISNUMBER(I335)),H335*I335,"")</f>
        <v>960</v>
      </c>
    </row>
    <row r="336" customFormat="false" ht="15" hidden="false" customHeight="false" outlineLevel="0" collapsed="false">
      <c r="A336" s="13" t="n">
        <v>1307</v>
      </c>
      <c r="B336" s="14" t="n">
        <v>46228</v>
      </c>
      <c r="C336" s="13" t="s">
        <v>333</v>
      </c>
      <c r="D336" s="13" t="s">
        <v>586</v>
      </c>
      <c r="E336" s="13" t="s">
        <v>28</v>
      </c>
      <c r="F336" s="13" t="s">
        <v>91</v>
      </c>
      <c r="G336" s="13" t="s">
        <v>71</v>
      </c>
      <c r="H336" s="13" t="n">
        <v>1</v>
      </c>
      <c r="I336" s="15" t="n">
        <v>300</v>
      </c>
      <c r="J336" s="13" t="s">
        <v>72</v>
      </c>
      <c r="K336" s="13" t="s">
        <v>75</v>
      </c>
      <c r="L336" s="13" t="s">
        <v>35</v>
      </c>
      <c r="M336" s="15" t="n">
        <f aca="false">IF(AND(ISNUMBER(H336),ISNUMBER(I336)),H336*I336,"")</f>
        <v>300</v>
      </c>
    </row>
    <row r="337" customFormat="false" ht="15" hidden="false" customHeight="false" outlineLevel="0" collapsed="false">
      <c r="A337" s="13" t="n">
        <v>1214</v>
      </c>
      <c r="B337" s="14" t="n">
        <v>46247</v>
      </c>
      <c r="C337" s="13" t="s">
        <v>241</v>
      </c>
      <c r="D337" s="13" t="s">
        <v>587</v>
      </c>
      <c r="E337" s="13" t="s">
        <v>27</v>
      </c>
      <c r="F337" s="13" t="s">
        <v>16</v>
      </c>
      <c r="G337" s="13" t="s">
        <v>101</v>
      </c>
      <c r="H337" s="13" t="n">
        <v>2</v>
      </c>
      <c r="I337" s="15"/>
      <c r="J337" s="13" t="s">
        <v>64</v>
      </c>
      <c r="K337" s="13" t="s">
        <v>80</v>
      </c>
      <c r="L337" s="13" t="s">
        <v>36</v>
      </c>
      <c r="M337" s="15" t="str">
        <f aca="false">IF(AND(ISNUMBER(H337),ISNUMBER(I337)),H337*I337,"")</f>
        <v/>
      </c>
    </row>
    <row r="338" customFormat="false" ht="15" hidden="false" customHeight="false" outlineLevel="0" collapsed="false">
      <c r="A338" s="13" t="n">
        <v>1423</v>
      </c>
      <c r="B338" s="14" t="n">
        <v>46190</v>
      </c>
      <c r="C338" s="13" t="s">
        <v>169</v>
      </c>
      <c r="D338" s="13" t="s">
        <v>588</v>
      </c>
      <c r="E338" s="13" t="s">
        <v>26</v>
      </c>
      <c r="F338" s="13" t="s">
        <v>131</v>
      </c>
      <c r="G338" s="13" t="s">
        <v>56</v>
      </c>
      <c r="H338" s="13" t="n">
        <v>3</v>
      </c>
      <c r="I338" s="15" t="n">
        <v>180</v>
      </c>
      <c r="J338" s="13" t="s">
        <v>64</v>
      </c>
      <c r="K338" s="13" t="s">
        <v>58</v>
      </c>
      <c r="L338" s="13" t="s">
        <v>34</v>
      </c>
      <c r="M338" s="15" t="n">
        <f aca="false">IF(AND(ISNUMBER(H338),ISNUMBER(I338)),H338*I338,"")</f>
        <v>540</v>
      </c>
    </row>
    <row r="339" customFormat="false" ht="15" hidden="false" customHeight="false" outlineLevel="0" collapsed="false">
      <c r="A339" s="13" t="n">
        <v>1178</v>
      </c>
      <c r="B339" s="14" t="n">
        <v>46239</v>
      </c>
      <c r="C339" s="13" t="s">
        <v>589</v>
      </c>
      <c r="D339" s="13" t="s">
        <v>590</v>
      </c>
      <c r="E339" s="13" t="s">
        <v>25</v>
      </c>
      <c r="F339" s="13" t="s">
        <v>96</v>
      </c>
      <c r="G339" s="13" t="s">
        <v>56</v>
      </c>
      <c r="H339" s="13" t="n">
        <v>1</v>
      </c>
      <c r="I339" s="15" t="n">
        <v>320</v>
      </c>
      <c r="J339" s="13" t="s">
        <v>64</v>
      </c>
      <c r="K339" s="13" t="s">
        <v>52</v>
      </c>
      <c r="L339" s="13" t="s">
        <v>36</v>
      </c>
      <c r="M339" s="15" t="n">
        <f aca="false">IF(AND(ISNUMBER(H339),ISNUMBER(I339)),H339*I339,"")</f>
        <v>320</v>
      </c>
    </row>
    <row r="340" customFormat="false" ht="15" hidden="false" customHeight="false" outlineLevel="0" collapsed="false">
      <c r="A340" s="13" t="n">
        <v>1019</v>
      </c>
      <c r="B340" s="14" t="n">
        <v>46204</v>
      </c>
      <c r="C340" s="13" t="s">
        <v>591</v>
      </c>
      <c r="D340" s="13" t="s">
        <v>592</v>
      </c>
      <c r="E340" s="13" t="s">
        <v>28</v>
      </c>
      <c r="F340" s="13" t="s">
        <v>55</v>
      </c>
      <c r="G340" s="13" t="s">
        <v>56</v>
      </c>
      <c r="H340" s="13" t="n">
        <v>1</v>
      </c>
      <c r="I340" s="15" t="n">
        <v>450</v>
      </c>
      <c r="J340" s="13" t="s">
        <v>57</v>
      </c>
      <c r="K340" s="13" t="s">
        <v>58</v>
      </c>
      <c r="L340" s="13" t="s">
        <v>35</v>
      </c>
      <c r="M340" s="15" t="n">
        <f aca="false">IF(AND(ISNUMBER(H340),ISNUMBER(I340)),H340*I340,"")</f>
        <v>450</v>
      </c>
    </row>
    <row r="341" customFormat="false" ht="15" hidden="false" customHeight="false" outlineLevel="0" collapsed="false">
      <c r="A341" s="13" t="n">
        <v>1360</v>
      </c>
      <c r="B341" s="14" t="n">
        <v>46175</v>
      </c>
      <c r="C341" s="13" t="s">
        <v>593</v>
      </c>
      <c r="D341" s="13" t="s">
        <v>594</v>
      </c>
      <c r="E341" s="13" t="s">
        <v>26</v>
      </c>
      <c r="F341" s="13" t="s">
        <v>18</v>
      </c>
      <c r="G341" s="13" t="s">
        <v>63</v>
      </c>
      <c r="H341" s="13" t="n">
        <v>1</v>
      </c>
      <c r="I341" s="15" t="n">
        <v>950</v>
      </c>
      <c r="J341" s="13" t="s">
        <v>72</v>
      </c>
      <c r="K341" s="13" t="s">
        <v>52</v>
      </c>
      <c r="L341" s="13" t="s">
        <v>34</v>
      </c>
      <c r="M341" s="15" t="n">
        <f aca="false">IF(AND(ISNUMBER(H341),ISNUMBER(I341)),H341*I341,"")</f>
        <v>950</v>
      </c>
    </row>
    <row r="342" customFormat="false" ht="15" hidden="false" customHeight="false" outlineLevel="0" collapsed="false">
      <c r="A342" s="13" t="n">
        <v>1393</v>
      </c>
      <c r="B342" s="14" t="n">
        <v>46224</v>
      </c>
      <c r="C342" s="13" t="s">
        <v>303</v>
      </c>
      <c r="D342" s="13" t="s">
        <v>68</v>
      </c>
      <c r="E342" s="13" t="s">
        <v>24</v>
      </c>
      <c r="F342" s="13" t="s">
        <v>91</v>
      </c>
      <c r="G342" s="13" t="s">
        <v>71</v>
      </c>
      <c r="H342" s="13" t="n">
        <v>1</v>
      </c>
      <c r="I342" s="15" t="n">
        <v>300</v>
      </c>
      <c r="J342" s="13" t="s">
        <v>57</v>
      </c>
      <c r="K342" s="13" t="s">
        <v>80</v>
      </c>
      <c r="L342" s="13" t="s">
        <v>35</v>
      </c>
      <c r="M342" s="15" t="n">
        <f aca="false">IF(AND(ISNUMBER(H342),ISNUMBER(I342)),H342*I342,"")</f>
        <v>300</v>
      </c>
    </row>
    <row r="343" customFormat="false" ht="15" hidden="false" customHeight="false" outlineLevel="0" collapsed="false">
      <c r="A343" s="13" t="n">
        <v>1289</v>
      </c>
      <c r="B343" s="14" t="n">
        <v>46183</v>
      </c>
      <c r="C343" s="13" t="s">
        <v>595</v>
      </c>
      <c r="D343" s="13" t="s">
        <v>596</v>
      </c>
      <c r="E343" s="13" t="s">
        <v>26</v>
      </c>
      <c r="F343" s="13" t="s">
        <v>20</v>
      </c>
      <c r="G343" s="13" t="s">
        <v>71</v>
      </c>
      <c r="H343" s="13" t="n">
        <v>1</v>
      </c>
      <c r="I343" s="15"/>
      <c r="J343" s="13" t="s">
        <v>64</v>
      </c>
      <c r="K343" s="13" t="s">
        <v>75</v>
      </c>
      <c r="L343" s="13" t="s">
        <v>34</v>
      </c>
      <c r="M343" s="15" t="str">
        <f aca="false">IF(AND(ISNUMBER(H343),ISNUMBER(I343)),H343*I343,"")</f>
        <v/>
      </c>
    </row>
    <row r="344" customFormat="false" ht="15" hidden="false" customHeight="false" outlineLevel="0" collapsed="false">
      <c r="A344" s="13" t="n">
        <v>1253</v>
      </c>
      <c r="B344" s="14" t="n">
        <v>46182</v>
      </c>
      <c r="C344" s="13" t="s">
        <v>67</v>
      </c>
      <c r="D344" s="13" t="s">
        <v>597</v>
      </c>
      <c r="E344" s="13" t="s">
        <v>30</v>
      </c>
      <c r="F344" s="13" t="s">
        <v>16</v>
      </c>
      <c r="G344" s="13" t="s">
        <v>101</v>
      </c>
      <c r="H344" s="13" t="n">
        <v>1</v>
      </c>
      <c r="I344" s="15" t="n">
        <v>1100</v>
      </c>
      <c r="J344" s="13" t="s">
        <v>64</v>
      </c>
      <c r="K344" s="13" t="s">
        <v>58</v>
      </c>
      <c r="L344" s="13" t="s">
        <v>34</v>
      </c>
      <c r="M344" s="15" t="n">
        <f aca="false">IF(AND(ISNUMBER(H344),ISNUMBER(I344)),H344*I344,"")</f>
        <v>1100</v>
      </c>
    </row>
    <row r="345" customFormat="false" ht="15" hidden="false" customHeight="false" outlineLevel="0" collapsed="false">
      <c r="A345" s="13" t="n">
        <v>1121</v>
      </c>
      <c r="B345" s="14" t="n">
        <v>46265</v>
      </c>
      <c r="C345" s="13" t="s">
        <v>598</v>
      </c>
      <c r="D345" s="13" t="s">
        <v>599</v>
      </c>
      <c r="E345" s="13" t="s">
        <v>28</v>
      </c>
      <c r="F345" s="13" t="s">
        <v>18</v>
      </c>
      <c r="G345" s="13" t="s">
        <v>63</v>
      </c>
      <c r="H345" s="13" t="n">
        <v>1</v>
      </c>
      <c r="I345" s="15" t="n">
        <v>950</v>
      </c>
      <c r="J345" s="13" t="s">
        <v>57</v>
      </c>
      <c r="K345" s="13" t="s">
        <v>58</v>
      </c>
      <c r="L345" s="13" t="s">
        <v>36</v>
      </c>
      <c r="M345" s="15" t="n">
        <f aca="false">IF(AND(ISNUMBER(H345),ISNUMBER(I345)),H345*I345,"")</f>
        <v>950</v>
      </c>
    </row>
    <row r="346" customFormat="false" ht="15" hidden="false" customHeight="false" outlineLevel="0" collapsed="false">
      <c r="A346" s="13" t="n">
        <v>1340</v>
      </c>
      <c r="B346" s="14" t="n">
        <v>46257</v>
      </c>
      <c r="C346" s="13" t="s">
        <v>519</v>
      </c>
      <c r="D346" s="13" t="s">
        <v>600</v>
      </c>
      <c r="E346" s="13" t="s">
        <v>24</v>
      </c>
      <c r="F346" s="13" t="s">
        <v>131</v>
      </c>
      <c r="G346" s="13" t="s">
        <v>56</v>
      </c>
      <c r="H346" s="13" t="n">
        <v>1</v>
      </c>
      <c r="I346" s="15" t="n">
        <v>180</v>
      </c>
      <c r="J346" s="13" t="s">
        <v>51</v>
      </c>
      <c r="K346" s="13" t="s">
        <v>75</v>
      </c>
      <c r="L346" s="13" t="s">
        <v>36</v>
      </c>
      <c r="M346" s="15" t="n">
        <f aca="false">IF(AND(ISNUMBER(H346),ISNUMBER(I346)),H346*I346,"")</f>
        <v>180</v>
      </c>
    </row>
    <row r="347" customFormat="false" ht="15" hidden="false" customHeight="false" outlineLevel="0" collapsed="false">
      <c r="A347" s="13" t="n">
        <v>1169</v>
      </c>
      <c r="B347" s="14" t="n">
        <v>46254</v>
      </c>
      <c r="C347" s="13" t="s">
        <v>295</v>
      </c>
      <c r="D347" s="13" t="s">
        <v>601</v>
      </c>
      <c r="E347" s="13" t="s">
        <v>26</v>
      </c>
      <c r="F347" s="13" t="s">
        <v>131</v>
      </c>
      <c r="G347" s="13" t="s">
        <v>56</v>
      </c>
      <c r="H347" s="13" t="n">
        <v>1</v>
      </c>
      <c r="I347" s="15" t="n">
        <v>180</v>
      </c>
      <c r="J347" s="13" t="s">
        <v>72</v>
      </c>
      <c r="K347" s="13" t="s">
        <v>58</v>
      </c>
      <c r="L347" s="13" t="s">
        <v>36</v>
      </c>
      <c r="M347" s="15" t="n">
        <f aca="false">IF(AND(ISNUMBER(H347),ISNUMBER(I347)),H347*I347,"")</f>
        <v>180</v>
      </c>
    </row>
    <row r="348" customFormat="false" ht="15" hidden="false" customHeight="false" outlineLevel="0" collapsed="false">
      <c r="A348" s="13" t="n">
        <v>1281</v>
      </c>
      <c r="B348" s="14" t="n">
        <v>46264</v>
      </c>
      <c r="C348" s="13" t="s">
        <v>602</v>
      </c>
      <c r="D348" s="13" t="s">
        <v>603</v>
      </c>
      <c r="E348" s="13" t="s">
        <v>24</v>
      </c>
      <c r="F348" s="13" t="s">
        <v>55</v>
      </c>
      <c r="G348" s="13" t="s">
        <v>56</v>
      </c>
      <c r="H348" s="13" t="n">
        <v>3</v>
      </c>
      <c r="I348" s="15" t="n">
        <v>450</v>
      </c>
      <c r="J348" s="13" t="s">
        <v>64</v>
      </c>
      <c r="K348" s="13" t="s">
        <v>75</v>
      </c>
      <c r="L348" s="13" t="s">
        <v>36</v>
      </c>
      <c r="M348" s="15" t="n">
        <f aca="false">IF(AND(ISNUMBER(H348),ISNUMBER(I348)),H348*I348,"")</f>
        <v>1350</v>
      </c>
    </row>
    <row r="349" customFormat="false" ht="15" hidden="false" customHeight="false" outlineLevel="0" collapsed="false">
      <c r="A349" s="13" t="n">
        <v>1031</v>
      </c>
      <c r="B349" s="14" t="n">
        <v>46181</v>
      </c>
      <c r="C349" s="13" t="s">
        <v>604</v>
      </c>
      <c r="D349" s="13" t="s">
        <v>605</v>
      </c>
      <c r="E349" s="13" t="s">
        <v>28</v>
      </c>
      <c r="F349" s="13" t="s">
        <v>91</v>
      </c>
      <c r="G349" s="13" t="s">
        <v>71</v>
      </c>
      <c r="H349" s="13" t="n">
        <v>1</v>
      </c>
      <c r="I349" s="15" t="n">
        <v>300</v>
      </c>
      <c r="J349" s="13" t="s">
        <v>51</v>
      </c>
      <c r="K349" s="13" t="s">
        <v>58</v>
      </c>
      <c r="L349" s="13" t="s">
        <v>34</v>
      </c>
      <c r="M349" s="15" t="n">
        <f aca="false">IF(AND(ISNUMBER(H349),ISNUMBER(I349)),H349*I349,"")</f>
        <v>300</v>
      </c>
    </row>
    <row r="350" customFormat="false" ht="15" hidden="false" customHeight="false" outlineLevel="0" collapsed="false">
      <c r="A350" s="13" t="n">
        <v>1172</v>
      </c>
      <c r="B350" s="14" t="n">
        <v>46232</v>
      </c>
      <c r="C350" s="13" t="s">
        <v>606</v>
      </c>
      <c r="D350" s="13" t="s">
        <v>607</v>
      </c>
      <c r="E350" s="13" t="s">
        <v>28</v>
      </c>
      <c r="F350" s="13" t="s">
        <v>55</v>
      </c>
      <c r="G350" s="13" t="s">
        <v>56</v>
      </c>
      <c r="H350" s="13" t="n">
        <v>1</v>
      </c>
      <c r="I350" s="15" t="n">
        <v>450</v>
      </c>
      <c r="J350" s="13" t="s">
        <v>64</v>
      </c>
      <c r="K350" s="13" t="s">
        <v>58</v>
      </c>
      <c r="L350" s="13" t="s">
        <v>35</v>
      </c>
      <c r="M350" s="15" t="n">
        <f aca="false">IF(AND(ISNUMBER(H350),ISNUMBER(I350)),H350*I350,"")</f>
        <v>450</v>
      </c>
    </row>
    <row r="351" customFormat="false" ht="15" hidden="false" customHeight="false" outlineLevel="0" collapsed="false">
      <c r="A351" s="13" t="n">
        <v>1134</v>
      </c>
      <c r="B351" s="14" t="n">
        <v>46252</v>
      </c>
      <c r="C351" s="13" t="s">
        <v>608</v>
      </c>
      <c r="D351" s="13" t="s">
        <v>609</v>
      </c>
      <c r="E351" s="13" t="s">
        <v>24</v>
      </c>
      <c r="F351" s="13" t="s">
        <v>16</v>
      </c>
      <c r="G351" s="13" t="s">
        <v>101</v>
      </c>
      <c r="H351" s="13" t="n">
        <v>1</v>
      </c>
      <c r="I351" s="15" t="n">
        <v>1100</v>
      </c>
      <c r="J351" s="13" t="s">
        <v>57</v>
      </c>
      <c r="K351" s="13" t="s">
        <v>58</v>
      </c>
      <c r="L351" s="13" t="s">
        <v>36</v>
      </c>
      <c r="M351" s="15" t="n">
        <f aca="false">IF(AND(ISNUMBER(H351),ISNUMBER(I351)),H351*I351,"")</f>
        <v>1100</v>
      </c>
    </row>
    <row r="352" customFormat="false" ht="15" hidden="false" customHeight="false" outlineLevel="0" collapsed="false">
      <c r="A352" s="13" t="n">
        <v>1174</v>
      </c>
      <c r="B352" s="14" t="n">
        <v>46189</v>
      </c>
      <c r="C352" s="13" t="s">
        <v>323</v>
      </c>
      <c r="D352" s="13" t="s">
        <v>610</v>
      </c>
      <c r="E352" s="13" t="s">
        <v>28</v>
      </c>
      <c r="F352" s="13" t="s">
        <v>131</v>
      </c>
      <c r="G352" s="13" t="s">
        <v>56</v>
      </c>
      <c r="H352" s="13" t="n">
        <v>1</v>
      </c>
      <c r="I352" s="15" t="n">
        <v>180</v>
      </c>
      <c r="J352" s="13" t="s">
        <v>51</v>
      </c>
      <c r="K352" s="13" t="s">
        <v>75</v>
      </c>
      <c r="L352" s="13" t="s">
        <v>34</v>
      </c>
      <c r="M352" s="15" t="n">
        <f aca="false">IF(AND(ISNUMBER(H352),ISNUMBER(I352)),H352*I352,"")</f>
        <v>180</v>
      </c>
    </row>
    <row r="353" customFormat="false" ht="15" hidden="false" customHeight="false" outlineLevel="0" collapsed="false">
      <c r="A353" s="13" t="n">
        <v>1017</v>
      </c>
      <c r="B353" s="14" t="n">
        <v>46206</v>
      </c>
      <c r="C353" s="13" t="s">
        <v>372</v>
      </c>
      <c r="D353" s="13" t="s">
        <v>611</v>
      </c>
      <c r="E353" s="13" t="s">
        <v>26</v>
      </c>
      <c r="F353" s="13" t="s">
        <v>55</v>
      </c>
      <c r="G353" s="13" t="s">
        <v>56</v>
      </c>
      <c r="H353" s="13" t="n">
        <v>1</v>
      </c>
      <c r="I353" s="15" t="n">
        <v>450</v>
      </c>
      <c r="J353" s="13" t="s">
        <v>57</v>
      </c>
      <c r="K353" s="13" t="s">
        <v>52</v>
      </c>
      <c r="L353" s="13" t="s">
        <v>35</v>
      </c>
      <c r="M353" s="15" t="n">
        <f aca="false">IF(AND(ISNUMBER(H353),ISNUMBER(I353)),H353*I353,"")</f>
        <v>450</v>
      </c>
    </row>
    <row r="354" customFormat="false" ht="15" hidden="false" customHeight="false" outlineLevel="0" collapsed="false">
      <c r="A354" s="13" t="n">
        <v>1335</v>
      </c>
      <c r="B354" s="14" t="n">
        <v>46190</v>
      </c>
      <c r="C354" s="13" t="s">
        <v>277</v>
      </c>
      <c r="D354" s="13" t="s">
        <v>612</v>
      </c>
      <c r="E354" s="13" t="s">
        <v>27</v>
      </c>
      <c r="F354" s="13" t="s">
        <v>55</v>
      </c>
      <c r="G354" s="13" t="s">
        <v>56</v>
      </c>
      <c r="H354" s="13" t="n">
        <v>2</v>
      </c>
      <c r="I354" s="15" t="n">
        <v>450</v>
      </c>
      <c r="J354" s="13" t="s">
        <v>64</v>
      </c>
      <c r="K354" s="13" t="s">
        <v>58</v>
      </c>
      <c r="L354" s="13" t="s">
        <v>34</v>
      </c>
      <c r="M354" s="15" t="n">
        <f aca="false">IF(AND(ISNUMBER(H354),ISNUMBER(I354)),H354*I354,"")</f>
        <v>900</v>
      </c>
    </row>
    <row r="355" customFormat="false" ht="15" hidden="false" customHeight="false" outlineLevel="0" collapsed="false">
      <c r="A355" s="13" t="n">
        <v>1135</v>
      </c>
      <c r="B355" s="14" t="n">
        <v>46229</v>
      </c>
      <c r="C355" s="13" t="s">
        <v>343</v>
      </c>
      <c r="D355" s="13" t="s">
        <v>613</v>
      </c>
      <c r="E355" s="13" t="s">
        <v>26</v>
      </c>
      <c r="F355" s="13" t="s">
        <v>96</v>
      </c>
      <c r="G355" s="13" t="s">
        <v>56</v>
      </c>
      <c r="H355" s="13" t="n">
        <v>4</v>
      </c>
      <c r="I355" s="15" t="n">
        <v>320</v>
      </c>
      <c r="J355" s="13" t="s">
        <v>51</v>
      </c>
      <c r="K355" s="13" t="s">
        <v>58</v>
      </c>
      <c r="L355" s="13" t="s">
        <v>35</v>
      </c>
      <c r="M355" s="15" t="n">
        <f aca="false">IF(AND(ISNUMBER(H355),ISNUMBER(I355)),H355*I355,"")</f>
        <v>1280</v>
      </c>
    </row>
    <row r="356" customFormat="false" ht="15" hidden="false" customHeight="false" outlineLevel="0" collapsed="false">
      <c r="A356" s="13" t="n">
        <v>1242</v>
      </c>
      <c r="B356" s="14" t="n">
        <v>46229</v>
      </c>
      <c r="C356" s="13" t="s">
        <v>614</v>
      </c>
      <c r="D356" s="13" t="s">
        <v>615</v>
      </c>
      <c r="E356" s="13" t="s">
        <v>26</v>
      </c>
      <c r="F356" s="13" t="s">
        <v>19</v>
      </c>
      <c r="G356" s="13" t="s">
        <v>86</v>
      </c>
      <c r="H356" s="13" t="n">
        <v>1</v>
      </c>
      <c r="I356" s="15" t="n">
        <v>750</v>
      </c>
      <c r="J356" s="13" t="s">
        <v>64</v>
      </c>
      <c r="K356" s="13" t="s">
        <v>58</v>
      </c>
      <c r="L356" s="13" t="s">
        <v>35</v>
      </c>
      <c r="M356" s="15" t="n">
        <f aca="false">IF(AND(ISNUMBER(H356),ISNUMBER(I356)),H356*I356,"")</f>
        <v>750</v>
      </c>
    </row>
    <row r="357" customFormat="false" ht="15" hidden="false" customHeight="false" outlineLevel="0" collapsed="false">
      <c r="A357" s="13" t="n">
        <v>1057</v>
      </c>
      <c r="B357" s="14" t="n">
        <v>46233</v>
      </c>
      <c r="C357" s="13" t="s">
        <v>616</v>
      </c>
      <c r="D357" s="13" t="s">
        <v>617</v>
      </c>
      <c r="E357" s="13" t="s">
        <v>25</v>
      </c>
      <c r="F357" s="13" t="s">
        <v>18</v>
      </c>
      <c r="G357" s="13" t="s">
        <v>63</v>
      </c>
      <c r="H357" s="13" t="n">
        <v>1</v>
      </c>
      <c r="I357" s="15" t="n">
        <v>950</v>
      </c>
      <c r="J357" s="13" t="s">
        <v>64</v>
      </c>
      <c r="K357" s="13" t="s">
        <v>58</v>
      </c>
      <c r="L357" s="13" t="s">
        <v>35</v>
      </c>
      <c r="M357" s="15" t="n">
        <f aca="false">IF(AND(ISNUMBER(H357),ISNUMBER(I357)),H357*I357,"")</f>
        <v>950</v>
      </c>
    </row>
    <row r="358" customFormat="false" ht="15" hidden="false" customHeight="false" outlineLevel="0" collapsed="false">
      <c r="A358" s="13" t="n">
        <v>1119</v>
      </c>
      <c r="B358" s="14" t="n">
        <v>46205</v>
      </c>
      <c r="C358" s="13" t="s">
        <v>618</v>
      </c>
      <c r="D358" s="13" t="s">
        <v>619</v>
      </c>
      <c r="E358" s="13" t="s">
        <v>26</v>
      </c>
      <c r="F358" s="13" t="s">
        <v>17</v>
      </c>
      <c r="G358" s="13" t="s">
        <v>86</v>
      </c>
      <c r="H358" s="13" t="n">
        <v>1</v>
      </c>
      <c r="I358" s="15" t="n">
        <v>900</v>
      </c>
      <c r="J358" s="13" t="s">
        <v>51</v>
      </c>
      <c r="K358" s="13" t="s">
        <v>52</v>
      </c>
      <c r="L358" s="13" t="s">
        <v>35</v>
      </c>
      <c r="M358" s="15" t="n">
        <f aca="false">IF(AND(ISNUMBER(H358),ISNUMBER(I358)),H358*I358,"")</f>
        <v>900</v>
      </c>
    </row>
    <row r="359" customFormat="false" ht="15" hidden="false" customHeight="false" outlineLevel="0" collapsed="false">
      <c r="A359" s="13" t="n">
        <v>1030</v>
      </c>
      <c r="B359" s="14" t="n">
        <v>46235</v>
      </c>
      <c r="C359" s="13" t="s">
        <v>410</v>
      </c>
      <c r="D359" s="13" t="s">
        <v>620</v>
      </c>
      <c r="E359" s="13" t="s">
        <v>26</v>
      </c>
      <c r="F359" s="13" t="s">
        <v>91</v>
      </c>
      <c r="G359" s="13" t="s">
        <v>71</v>
      </c>
      <c r="H359" s="13" t="n">
        <v>3</v>
      </c>
      <c r="I359" s="15" t="n">
        <v>300</v>
      </c>
      <c r="J359" s="13" t="s">
        <v>51</v>
      </c>
      <c r="K359" s="13" t="s">
        <v>80</v>
      </c>
      <c r="L359" s="13" t="s">
        <v>36</v>
      </c>
      <c r="M359" s="15" t="n">
        <f aca="false">IF(AND(ISNUMBER(H359),ISNUMBER(I359)),H359*I359,"")</f>
        <v>900</v>
      </c>
    </row>
    <row r="360" customFormat="false" ht="15" hidden="false" customHeight="false" outlineLevel="0" collapsed="false">
      <c r="A360" s="13" t="n">
        <v>1432</v>
      </c>
      <c r="B360" s="14" t="n">
        <v>46237</v>
      </c>
      <c r="C360" s="13" t="s">
        <v>621</v>
      </c>
      <c r="D360" s="13" t="s">
        <v>622</v>
      </c>
      <c r="E360" s="13" t="s">
        <v>27</v>
      </c>
      <c r="F360" s="13" t="s">
        <v>16</v>
      </c>
      <c r="G360" s="13" t="s">
        <v>101</v>
      </c>
      <c r="H360" s="13" t="n">
        <v>2</v>
      </c>
      <c r="I360" s="15" t="n">
        <v>1100</v>
      </c>
      <c r="J360" s="13" t="s">
        <v>51</v>
      </c>
      <c r="K360" s="13" t="s">
        <v>52</v>
      </c>
      <c r="L360" s="13" t="s">
        <v>36</v>
      </c>
      <c r="M360" s="15" t="n">
        <f aca="false">IF(AND(ISNUMBER(H360),ISNUMBER(I360)),H360*I360,"")</f>
        <v>2200</v>
      </c>
    </row>
    <row r="361" customFormat="false" ht="15" hidden="false" customHeight="false" outlineLevel="0" collapsed="false">
      <c r="A361" s="13" t="n">
        <v>1205</v>
      </c>
      <c r="B361" s="14" t="n">
        <v>46254</v>
      </c>
      <c r="C361" s="13" t="s">
        <v>623</v>
      </c>
      <c r="D361" s="13" t="s">
        <v>624</v>
      </c>
      <c r="E361" s="13" t="s">
        <v>24</v>
      </c>
      <c r="F361" s="13" t="s">
        <v>49</v>
      </c>
      <c r="G361" s="13" t="s">
        <v>50</v>
      </c>
      <c r="H361" s="13" t="n">
        <v>1</v>
      </c>
      <c r="I361" s="15" t="n">
        <v>120</v>
      </c>
      <c r="J361" s="13" t="s">
        <v>51</v>
      </c>
      <c r="K361" s="13" t="s">
        <v>58</v>
      </c>
      <c r="L361" s="13" t="s">
        <v>36</v>
      </c>
      <c r="M361" s="15" t="n">
        <f aca="false">IF(AND(ISNUMBER(H361),ISNUMBER(I361)),H361*I361,"")</f>
        <v>120</v>
      </c>
    </row>
    <row r="362" customFormat="false" ht="15" hidden="false" customHeight="false" outlineLevel="0" collapsed="false">
      <c r="A362" s="13" t="n">
        <v>1160</v>
      </c>
      <c r="B362" s="14" t="n">
        <v>46256</v>
      </c>
      <c r="C362" s="13" t="s">
        <v>625</v>
      </c>
      <c r="D362" s="13" t="s">
        <v>626</v>
      </c>
      <c r="E362" s="13" t="s">
        <v>27</v>
      </c>
      <c r="F362" s="13" t="s">
        <v>17</v>
      </c>
      <c r="G362" s="13" t="s">
        <v>86</v>
      </c>
      <c r="H362" s="13" t="n">
        <v>2</v>
      </c>
      <c r="I362" s="15" t="n">
        <v>900</v>
      </c>
      <c r="J362" s="13" t="s">
        <v>72</v>
      </c>
      <c r="K362" s="13" t="s">
        <v>58</v>
      </c>
      <c r="L362" s="13" t="s">
        <v>36</v>
      </c>
      <c r="M362" s="15" t="n">
        <f aca="false">IF(AND(ISNUMBER(H362),ISNUMBER(I362)),H362*I362,"")</f>
        <v>1800</v>
      </c>
    </row>
    <row r="363" customFormat="false" ht="15" hidden="false" customHeight="false" outlineLevel="0" collapsed="false">
      <c r="A363" s="13" t="n">
        <v>1435</v>
      </c>
      <c r="B363" s="14" t="n">
        <v>46227</v>
      </c>
      <c r="C363" s="13" t="s">
        <v>627</v>
      </c>
      <c r="D363" s="13" t="s">
        <v>628</v>
      </c>
      <c r="E363" s="13" t="s">
        <v>27</v>
      </c>
      <c r="F363" s="13" t="s">
        <v>49</v>
      </c>
      <c r="G363" s="13" t="s">
        <v>50</v>
      </c>
      <c r="H363" s="13" t="n">
        <v>3</v>
      </c>
      <c r="I363" s="15" t="n">
        <v>120</v>
      </c>
      <c r="J363" s="13" t="s">
        <v>57</v>
      </c>
      <c r="K363" s="13" t="s">
        <v>58</v>
      </c>
      <c r="L363" s="13" t="s">
        <v>35</v>
      </c>
      <c r="M363" s="15" t="n">
        <f aca="false">IF(AND(ISNUMBER(H363),ISNUMBER(I363)),H363*I363,"")</f>
        <v>360</v>
      </c>
    </row>
    <row r="364" customFormat="false" ht="15" hidden="false" customHeight="false" outlineLevel="0" collapsed="false">
      <c r="A364" s="13" t="n">
        <v>1313</v>
      </c>
      <c r="B364" s="14" t="n">
        <v>46244</v>
      </c>
      <c r="C364" s="13" t="s">
        <v>629</v>
      </c>
      <c r="D364" s="13" t="s">
        <v>630</v>
      </c>
      <c r="E364" s="13" t="s">
        <v>24</v>
      </c>
      <c r="F364" s="13" t="s">
        <v>19</v>
      </c>
      <c r="G364" s="13" t="s">
        <v>86</v>
      </c>
      <c r="H364" s="13" t="n">
        <v>1</v>
      </c>
      <c r="I364" s="15" t="n">
        <v>750</v>
      </c>
      <c r="J364" s="13" t="s">
        <v>72</v>
      </c>
      <c r="K364" s="13" t="s">
        <v>58</v>
      </c>
      <c r="L364" s="13" t="s">
        <v>36</v>
      </c>
      <c r="M364" s="15" t="n">
        <f aca="false">IF(AND(ISNUMBER(H364),ISNUMBER(I364)),H364*I364,"")</f>
        <v>750</v>
      </c>
    </row>
    <row r="365" customFormat="false" ht="15" hidden="false" customHeight="false" outlineLevel="0" collapsed="false">
      <c r="A365" s="13" t="n">
        <v>1266</v>
      </c>
      <c r="B365" s="14" t="n">
        <v>46257</v>
      </c>
      <c r="C365" s="13" t="s">
        <v>559</v>
      </c>
      <c r="D365" s="13" t="s">
        <v>631</v>
      </c>
      <c r="E365" s="13" t="s">
        <v>24</v>
      </c>
      <c r="F365" s="13" t="s">
        <v>20</v>
      </c>
      <c r="G365" s="13" t="s">
        <v>71</v>
      </c>
      <c r="H365" s="13" t="n">
        <v>1</v>
      </c>
      <c r="I365" s="15" t="n">
        <v>550</v>
      </c>
      <c r="J365" s="13" t="s">
        <v>64</v>
      </c>
      <c r="K365" s="13" t="s">
        <v>58</v>
      </c>
      <c r="L365" s="13" t="s">
        <v>36</v>
      </c>
      <c r="M365" s="15" t="n">
        <f aca="false">IF(AND(ISNUMBER(H365),ISNUMBER(I365)),H365*I365,"")</f>
        <v>550</v>
      </c>
    </row>
    <row r="366" customFormat="false" ht="15" hidden="false" customHeight="false" outlineLevel="0" collapsed="false">
      <c r="A366" s="13" t="n">
        <v>1124</v>
      </c>
      <c r="B366" s="14" t="n">
        <v>46193</v>
      </c>
      <c r="C366" s="13" t="s">
        <v>632</v>
      </c>
      <c r="D366" s="13" t="s">
        <v>633</v>
      </c>
      <c r="E366" s="13" t="s">
        <v>24</v>
      </c>
      <c r="F366" s="13" t="s">
        <v>17</v>
      </c>
      <c r="G366" s="13" t="s">
        <v>86</v>
      </c>
      <c r="H366" s="13" t="n">
        <v>1</v>
      </c>
      <c r="I366" s="15" t="n">
        <v>900</v>
      </c>
      <c r="J366" s="13" t="s">
        <v>72</v>
      </c>
      <c r="K366" s="13" t="s">
        <v>52</v>
      </c>
      <c r="L366" s="13" t="s">
        <v>34</v>
      </c>
      <c r="M366" s="15" t="n">
        <f aca="false">IF(AND(ISNUMBER(H366),ISNUMBER(I366)),H366*I366,"")</f>
        <v>900</v>
      </c>
    </row>
    <row r="367" customFormat="false" ht="15" hidden="false" customHeight="false" outlineLevel="0" collapsed="false">
      <c r="A367" s="13" t="n">
        <v>1295</v>
      </c>
      <c r="B367" s="14" t="n">
        <v>46178</v>
      </c>
      <c r="C367" s="13" t="s">
        <v>634</v>
      </c>
      <c r="D367" s="13" t="s">
        <v>635</v>
      </c>
      <c r="E367" s="13" t="s">
        <v>27</v>
      </c>
      <c r="F367" s="13" t="s">
        <v>131</v>
      </c>
      <c r="G367" s="13" t="s">
        <v>56</v>
      </c>
      <c r="H367" s="13" t="n">
        <v>3</v>
      </c>
      <c r="I367" s="15" t="n">
        <v>180</v>
      </c>
      <c r="J367" s="13" t="s">
        <v>72</v>
      </c>
      <c r="K367" s="13" t="s">
        <v>58</v>
      </c>
      <c r="L367" s="13" t="s">
        <v>34</v>
      </c>
      <c r="M367" s="15" t="n">
        <f aca="false">IF(AND(ISNUMBER(H367),ISNUMBER(I367)),H367*I367,"")</f>
        <v>540</v>
      </c>
    </row>
    <row r="368" customFormat="false" ht="15" hidden="false" customHeight="false" outlineLevel="0" collapsed="false">
      <c r="A368" s="13" t="n">
        <v>1274</v>
      </c>
      <c r="B368" s="14" t="n">
        <v>46233</v>
      </c>
      <c r="C368" s="13" t="s">
        <v>636</v>
      </c>
      <c r="D368" s="13" t="s">
        <v>637</v>
      </c>
      <c r="E368" s="13" t="s">
        <v>25</v>
      </c>
      <c r="F368" s="13" t="s">
        <v>19</v>
      </c>
      <c r="G368" s="13" t="s">
        <v>86</v>
      </c>
      <c r="H368" s="13" t="n">
        <v>1</v>
      </c>
      <c r="I368" s="15" t="n">
        <v>750</v>
      </c>
      <c r="J368" s="13" t="s">
        <v>64</v>
      </c>
      <c r="K368" s="13" t="s">
        <v>58</v>
      </c>
      <c r="L368" s="13" t="s">
        <v>35</v>
      </c>
      <c r="M368" s="15" t="n">
        <f aca="false">IF(AND(ISNUMBER(H368),ISNUMBER(I368)),H368*I368,"")</f>
        <v>750</v>
      </c>
    </row>
    <row r="369" customFormat="false" ht="15" hidden="false" customHeight="false" outlineLevel="0" collapsed="false">
      <c r="A369" s="13" t="n">
        <v>1039</v>
      </c>
      <c r="B369" s="14" t="n">
        <v>46254</v>
      </c>
      <c r="C369" s="13" t="s">
        <v>638</v>
      </c>
      <c r="D369" s="13" t="s">
        <v>639</v>
      </c>
      <c r="E369" s="13" t="s">
        <v>26</v>
      </c>
      <c r="F369" s="13" t="s">
        <v>19</v>
      </c>
      <c r="G369" s="13" t="s">
        <v>86</v>
      </c>
      <c r="H369" s="13" t="n">
        <v>4</v>
      </c>
      <c r="I369" s="15" t="n">
        <v>750</v>
      </c>
      <c r="J369" s="13" t="s">
        <v>64</v>
      </c>
      <c r="K369" s="13" t="s">
        <v>58</v>
      </c>
      <c r="L369" s="13" t="s">
        <v>36</v>
      </c>
      <c r="M369" s="15" t="n">
        <f aca="false">IF(AND(ISNUMBER(H369),ISNUMBER(I369)),H369*I369,"")</f>
        <v>3000</v>
      </c>
    </row>
    <row r="370" customFormat="false" ht="15" hidden="false" customHeight="false" outlineLevel="0" collapsed="false">
      <c r="A370" s="13" t="n">
        <v>1148</v>
      </c>
      <c r="B370" s="14" t="n">
        <v>46250</v>
      </c>
      <c r="C370" s="13" t="s">
        <v>640</v>
      </c>
      <c r="D370" s="13" t="s">
        <v>641</v>
      </c>
      <c r="E370" s="13" t="s">
        <v>25</v>
      </c>
      <c r="F370" s="13" t="s">
        <v>17</v>
      </c>
      <c r="G370" s="13" t="s">
        <v>86</v>
      </c>
      <c r="H370" s="13" t="n">
        <v>1</v>
      </c>
      <c r="I370" s="15" t="n">
        <v>900</v>
      </c>
      <c r="J370" s="13" t="s">
        <v>72</v>
      </c>
      <c r="K370" s="13" t="s">
        <v>80</v>
      </c>
      <c r="L370" s="13" t="s">
        <v>36</v>
      </c>
      <c r="M370" s="15" t="n">
        <f aca="false">IF(AND(ISNUMBER(H370),ISNUMBER(I370)),H370*I370,"")</f>
        <v>900</v>
      </c>
    </row>
    <row r="371" customFormat="false" ht="15" hidden="false" customHeight="false" outlineLevel="0" collapsed="false">
      <c r="A371" s="13" t="n">
        <v>1081</v>
      </c>
      <c r="B371" s="14" t="n">
        <v>46262</v>
      </c>
      <c r="C371" s="13" t="s">
        <v>113</v>
      </c>
      <c r="D371" s="13" t="s">
        <v>642</v>
      </c>
      <c r="E371" s="13" t="s">
        <v>24</v>
      </c>
      <c r="F371" s="13" t="s">
        <v>91</v>
      </c>
      <c r="G371" s="13" t="s">
        <v>71</v>
      </c>
      <c r="H371" s="13" t="n">
        <v>2</v>
      </c>
      <c r="I371" s="15" t="n">
        <v>300</v>
      </c>
      <c r="J371" s="13" t="s">
        <v>64</v>
      </c>
      <c r="K371" s="13" t="s">
        <v>58</v>
      </c>
      <c r="L371" s="13" t="s">
        <v>36</v>
      </c>
      <c r="M371" s="15" t="n">
        <f aca="false">IF(AND(ISNUMBER(H371),ISNUMBER(I371)),H371*I371,"")</f>
        <v>600</v>
      </c>
    </row>
    <row r="372" customFormat="false" ht="15" hidden="false" customHeight="false" outlineLevel="0" collapsed="false">
      <c r="A372" s="13" t="n">
        <v>1428</v>
      </c>
      <c r="B372" s="14" t="n">
        <v>46254</v>
      </c>
      <c r="C372" s="13" t="s">
        <v>397</v>
      </c>
      <c r="D372" s="13" t="s">
        <v>643</v>
      </c>
      <c r="E372" s="13" t="s">
        <v>29</v>
      </c>
      <c r="F372" s="13" t="s">
        <v>55</v>
      </c>
      <c r="G372" s="13" t="s">
        <v>56</v>
      </c>
      <c r="H372" s="13" t="n">
        <v>2</v>
      </c>
      <c r="I372" s="15" t="n">
        <v>450</v>
      </c>
      <c r="J372" s="13" t="s">
        <v>57</v>
      </c>
      <c r="K372" s="13" t="s">
        <v>58</v>
      </c>
      <c r="L372" s="13" t="s">
        <v>36</v>
      </c>
      <c r="M372" s="15" t="n">
        <f aca="false">IF(AND(ISNUMBER(H372),ISNUMBER(I372)),H372*I372,"")</f>
        <v>900</v>
      </c>
    </row>
    <row r="373" customFormat="false" ht="15" hidden="false" customHeight="false" outlineLevel="0" collapsed="false">
      <c r="A373" s="13" t="n">
        <v>1184</v>
      </c>
      <c r="B373" s="14" t="n">
        <v>46263</v>
      </c>
      <c r="C373" s="13" t="s">
        <v>644</v>
      </c>
      <c r="D373" s="13" t="s">
        <v>645</v>
      </c>
      <c r="E373" s="13" t="s">
        <v>30</v>
      </c>
      <c r="F373" s="13" t="s">
        <v>19</v>
      </c>
      <c r="G373" s="13" t="s">
        <v>86</v>
      </c>
      <c r="H373" s="13" t="n">
        <v>1</v>
      </c>
      <c r="I373" s="15" t="n">
        <v>750</v>
      </c>
      <c r="J373" s="13" t="s">
        <v>72</v>
      </c>
      <c r="K373" s="13" t="s">
        <v>58</v>
      </c>
      <c r="L373" s="13" t="s">
        <v>36</v>
      </c>
      <c r="M373" s="15" t="n">
        <f aca="false">IF(AND(ISNUMBER(H373),ISNUMBER(I373)),H373*I373,"")</f>
        <v>750</v>
      </c>
    </row>
    <row r="374" customFormat="false" ht="15" hidden="false" customHeight="false" outlineLevel="0" collapsed="false">
      <c r="A374" s="13" t="n">
        <v>1361</v>
      </c>
      <c r="B374" s="14" t="n">
        <v>46210</v>
      </c>
      <c r="C374" s="13" t="s">
        <v>368</v>
      </c>
      <c r="D374" s="13" t="s">
        <v>646</v>
      </c>
      <c r="E374" s="13" t="s">
        <v>29</v>
      </c>
      <c r="F374" s="13" t="s">
        <v>19</v>
      </c>
      <c r="G374" s="13" t="s">
        <v>86</v>
      </c>
      <c r="H374" s="13" t="n">
        <v>2</v>
      </c>
      <c r="I374" s="15" t="n">
        <v>750</v>
      </c>
      <c r="J374" s="13" t="s">
        <v>57</v>
      </c>
      <c r="K374" s="13" t="s">
        <v>75</v>
      </c>
      <c r="L374" s="13" t="s">
        <v>35</v>
      </c>
      <c r="M374" s="15" t="n">
        <f aca="false">IF(AND(ISNUMBER(H374),ISNUMBER(I374)),H374*I374,"")</f>
        <v>1500</v>
      </c>
    </row>
    <row r="375" customFormat="false" ht="15" hidden="false" customHeight="false" outlineLevel="0" collapsed="false">
      <c r="A375" s="13" t="n">
        <v>1200</v>
      </c>
      <c r="B375" s="14" t="n">
        <v>46242</v>
      </c>
      <c r="C375" s="13" t="s">
        <v>173</v>
      </c>
      <c r="D375" s="13" t="s">
        <v>647</v>
      </c>
      <c r="E375" s="13" t="s">
        <v>29</v>
      </c>
      <c r="F375" s="13" t="s">
        <v>17</v>
      </c>
      <c r="G375" s="13" t="s">
        <v>86</v>
      </c>
      <c r="H375" s="13" t="n">
        <v>1</v>
      </c>
      <c r="I375" s="15"/>
      <c r="J375" s="13" t="s">
        <v>57</v>
      </c>
      <c r="K375" s="13" t="s">
        <v>58</v>
      </c>
      <c r="L375" s="13" t="s">
        <v>36</v>
      </c>
      <c r="M375" s="15" t="str">
        <f aca="false">IF(AND(ISNUMBER(H375),ISNUMBER(I375)),H375*I375,"")</f>
        <v/>
      </c>
    </row>
    <row r="376" customFormat="false" ht="15" hidden="false" customHeight="false" outlineLevel="0" collapsed="false">
      <c r="A376" s="13" t="n">
        <v>1149</v>
      </c>
      <c r="B376" s="14" t="n">
        <v>46207</v>
      </c>
      <c r="C376" s="13" t="s">
        <v>648</v>
      </c>
      <c r="D376" s="13" t="s">
        <v>649</v>
      </c>
      <c r="E376" s="13" t="s">
        <v>26</v>
      </c>
      <c r="F376" s="13" t="s">
        <v>131</v>
      </c>
      <c r="G376" s="13" t="s">
        <v>56</v>
      </c>
      <c r="H376" s="13" t="n">
        <v>4</v>
      </c>
      <c r="I376" s="15" t="n">
        <v>180</v>
      </c>
      <c r="J376" s="13" t="s">
        <v>57</v>
      </c>
      <c r="K376" s="13" t="s">
        <v>75</v>
      </c>
      <c r="L376" s="13" t="s">
        <v>35</v>
      </c>
      <c r="M376" s="15" t="n">
        <f aca="false">IF(AND(ISNUMBER(H376),ISNUMBER(I376)),H376*I376,"")</f>
        <v>720</v>
      </c>
    </row>
    <row r="377" customFormat="false" ht="15" hidden="false" customHeight="false" outlineLevel="0" collapsed="false">
      <c r="A377" s="13" t="n">
        <v>1115</v>
      </c>
      <c r="B377" s="14" t="n">
        <v>46185</v>
      </c>
      <c r="C377" s="13" t="s">
        <v>241</v>
      </c>
      <c r="D377" s="13" t="s">
        <v>650</v>
      </c>
      <c r="E377" s="13" t="s">
        <v>26</v>
      </c>
      <c r="F377" s="13" t="s">
        <v>17</v>
      </c>
      <c r="G377" s="13" t="s">
        <v>86</v>
      </c>
      <c r="H377" s="13" t="n">
        <v>1</v>
      </c>
      <c r="I377" s="15" t="n">
        <v>900</v>
      </c>
      <c r="J377" s="13" t="s">
        <v>72</v>
      </c>
      <c r="K377" s="13" t="s">
        <v>75</v>
      </c>
      <c r="L377" s="13" t="s">
        <v>34</v>
      </c>
      <c r="M377" s="15" t="n">
        <f aca="false">IF(AND(ISNUMBER(H377),ISNUMBER(I377)),H377*I377,"")</f>
        <v>900</v>
      </c>
    </row>
    <row r="378" customFormat="false" ht="15" hidden="false" customHeight="false" outlineLevel="0" collapsed="false">
      <c r="A378" s="13" t="n">
        <v>1012</v>
      </c>
      <c r="B378" s="14" t="n">
        <v>46183</v>
      </c>
      <c r="C378" s="13" t="s">
        <v>328</v>
      </c>
      <c r="D378" s="13" t="s">
        <v>651</v>
      </c>
      <c r="E378" s="13" t="s">
        <v>24</v>
      </c>
      <c r="F378" s="13" t="s">
        <v>91</v>
      </c>
      <c r="G378" s="13" t="s">
        <v>71</v>
      </c>
      <c r="H378" s="13" t="n">
        <v>1</v>
      </c>
      <c r="I378" s="15" t="n">
        <v>300</v>
      </c>
      <c r="J378" s="13" t="s">
        <v>72</v>
      </c>
      <c r="K378" s="13" t="s">
        <v>58</v>
      </c>
      <c r="L378" s="13" t="s">
        <v>34</v>
      </c>
      <c r="M378" s="15" t="n">
        <f aca="false">IF(AND(ISNUMBER(H378),ISNUMBER(I378)),H378*I378,"")</f>
        <v>300</v>
      </c>
    </row>
    <row r="379" customFormat="false" ht="15" hidden="false" customHeight="false" outlineLevel="0" collapsed="false">
      <c r="A379" s="13" t="n">
        <v>1170</v>
      </c>
      <c r="B379" s="14" t="n">
        <v>46253</v>
      </c>
      <c r="C379" s="13" t="s">
        <v>563</v>
      </c>
      <c r="D379" s="13" t="s">
        <v>652</v>
      </c>
      <c r="E379" s="13" t="s">
        <v>26</v>
      </c>
      <c r="F379" s="13" t="s">
        <v>91</v>
      </c>
      <c r="G379" s="13" t="s">
        <v>71</v>
      </c>
      <c r="H379" s="13" t="n">
        <v>1</v>
      </c>
      <c r="I379" s="15" t="n">
        <v>300</v>
      </c>
      <c r="J379" s="13" t="s">
        <v>64</v>
      </c>
      <c r="K379" s="13" t="s">
        <v>58</v>
      </c>
      <c r="L379" s="13" t="s">
        <v>36</v>
      </c>
      <c r="M379" s="15" t="n">
        <f aca="false">IF(AND(ISNUMBER(H379),ISNUMBER(I379)),H379*I379,"")</f>
        <v>300</v>
      </c>
    </row>
    <row r="380" customFormat="false" ht="15" hidden="false" customHeight="false" outlineLevel="0" collapsed="false">
      <c r="A380" s="13" t="n">
        <v>1277</v>
      </c>
      <c r="B380" s="14" t="n">
        <v>46262</v>
      </c>
      <c r="C380" s="13" t="s">
        <v>407</v>
      </c>
      <c r="D380" s="13" t="s">
        <v>653</v>
      </c>
      <c r="E380" s="13" t="s">
        <v>28</v>
      </c>
      <c r="F380" s="13" t="s">
        <v>91</v>
      </c>
      <c r="G380" s="13" t="s">
        <v>71</v>
      </c>
      <c r="H380" s="13" t="n">
        <v>2</v>
      </c>
      <c r="I380" s="15" t="n">
        <v>300</v>
      </c>
      <c r="J380" s="13" t="s">
        <v>51</v>
      </c>
      <c r="K380" s="13" t="s">
        <v>80</v>
      </c>
      <c r="L380" s="13" t="s">
        <v>36</v>
      </c>
      <c r="M380" s="15" t="n">
        <f aca="false">IF(AND(ISNUMBER(H380),ISNUMBER(I380)),H380*I380,"")</f>
        <v>600</v>
      </c>
    </row>
    <row r="381" customFormat="false" ht="15" hidden="false" customHeight="false" outlineLevel="0" collapsed="false">
      <c r="A381" s="13" t="n">
        <v>1308</v>
      </c>
      <c r="B381" s="14" t="n">
        <v>46190</v>
      </c>
      <c r="C381" s="13" t="s">
        <v>84</v>
      </c>
      <c r="D381" s="13" t="s">
        <v>654</v>
      </c>
      <c r="E381" s="13" t="s">
        <v>28</v>
      </c>
      <c r="F381" s="13" t="s">
        <v>91</v>
      </c>
      <c r="G381" s="13" t="s">
        <v>71</v>
      </c>
      <c r="H381" s="13" t="n">
        <v>1</v>
      </c>
      <c r="I381" s="15" t="n">
        <v>300</v>
      </c>
      <c r="J381" s="13" t="s">
        <v>51</v>
      </c>
      <c r="K381" s="13" t="s">
        <v>58</v>
      </c>
      <c r="L381" s="13" t="s">
        <v>34</v>
      </c>
      <c r="M381" s="15" t="n">
        <f aca="false">IF(AND(ISNUMBER(H381),ISNUMBER(I381)),H381*I381,"")</f>
        <v>300</v>
      </c>
    </row>
    <row r="382" customFormat="false" ht="15" hidden="false" customHeight="false" outlineLevel="0" collapsed="false">
      <c r="A382" s="13" t="n">
        <v>1027</v>
      </c>
      <c r="B382" s="14" t="n">
        <v>46215</v>
      </c>
      <c r="C382" s="13" t="s">
        <v>655</v>
      </c>
      <c r="D382" s="13" t="s">
        <v>656</v>
      </c>
      <c r="E382" s="13" t="s">
        <v>27</v>
      </c>
      <c r="F382" s="13" t="s">
        <v>17</v>
      </c>
      <c r="G382" s="13" t="s">
        <v>86</v>
      </c>
      <c r="H382" s="13" t="n">
        <v>1</v>
      </c>
      <c r="I382" s="15" t="n">
        <v>900</v>
      </c>
      <c r="J382" s="13" t="s">
        <v>72</v>
      </c>
      <c r="K382" s="13" t="s">
        <v>80</v>
      </c>
      <c r="L382" s="13" t="s">
        <v>35</v>
      </c>
      <c r="M382" s="15" t="n">
        <f aca="false">IF(AND(ISNUMBER(H382),ISNUMBER(I382)),H382*I382,"")</f>
        <v>900</v>
      </c>
    </row>
    <row r="383" customFormat="false" ht="15" hidden="false" customHeight="false" outlineLevel="0" collapsed="false">
      <c r="A383" s="13" t="n">
        <v>1256</v>
      </c>
      <c r="B383" s="14" t="n">
        <v>46186</v>
      </c>
      <c r="C383" s="13" t="s">
        <v>263</v>
      </c>
      <c r="D383" s="13" t="s">
        <v>657</v>
      </c>
      <c r="E383" s="13" t="s">
        <v>24</v>
      </c>
      <c r="F383" s="13" t="s">
        <v>131</v>
      </c>
      <c r="G383" s="13" t="s">
        <v>56</v>
      </c>
      <c r="H383" s="13" t="n">
        <v>2</v>
      </c>
      <c r="I383" s="15" t="n">
        <v>180</v>
      </c>
      <c r="J383" s="13" t="s">
        <v>57</v>
      </c>
      <c r="K383" s="13" t="s">
        <v>58</v>
      </c>
      <c r="L383" s="13" t="s">
        <v>34</v>
      </c>
      <c r="M383" s="15" t="n">
        <f aca="false">IF(AND(ISNUMBER(H383),ISNUMBER(I383)),H383*I383,"")</f>
        <v>360</v>
      </c>
    </row>
    <row r="384" customFormat="false" ht="15" hidden="false" customHeight="false" outlineLevel="0" collapsed="false">
      <c r="A384" s="13" t="n">
        <v>1061</v>
      </c>
      <c r="B384" s="14" t="n">
        <v>46195</v>
      </c>
      <c r="C384" s="13" t="s">
        <v>534</v>
      </c>
      <c r="D384" s="13" t="s">
        <v>658</v>
      </c>
      <c r="E384" s="13" t="s">
        <v>24</v>
      </c>
      <c r="F384" s="13" t="s">
        <v>49</v>
      </c>
      <c r="G384" s="13" t="s">
        <v>50</v>
      </c>
      <c r="H384" s="13" t="n">
        <v>2</v>
      </c>
      <c r="I384" s="15" t="n">
        <v>120</v>
      </c>
      <c r="J384" s="13" t="s">
        <v>72</v>
      </c>
      <c r="K384" s="13" t="s">
        <v>80</v>
      </c>
      <c r="L384" s="13" t="s">
        <v>34</v>
      </c>
      <c r="M384" s="15" t="n">
        <f aca="false">IF(AND(ISNUMBER(H384),ISNUMBER(I384)),H384*I384,"")</f>
        <v>240</v>
      </c>
    </row>
    <row r="385" customFormat="false" ht="15" hidden="false" customHeight="false" outlineLevel="0" collapsed="false">
      <c r="A385" s="13" t="n">
        <v>1052</v>
      </c>
      <c r="B385" s="14" t="n">
        <v>46197</v>
      </c>
      <c r="C385" s="13" t="s">
        <v>161</v>
      </c>
      <c r="D385" s="13" t="s">
        <v>659</v>
      </c>
      <c r="E385" s="13" t="s">
        <v>24</v>
      </c>
      <c r="F385" s="13" t="s">
        <v>17</v>
      </c>
      <c r="G385" s="13" t="s">
        <v>86</v>
      </c>
      <c r="H385" s="13" t="n">
        <v>1</v>
      </c>
      <c r="I385" s="15" t="n">
        <v>900</v>
      </c>
      <c r="J385" s="13" t="s">
        <v>64</v>
      </c>
      <c r="K385" s="13" t="s">
        <v>58</v>
      </c>
      <c r="L385" s="13" t="s">
        <v>34</v>
      </c>
      <c r="M385" s="15" t="n">
        <f aca="false">IF(AND(ISNUMBER(H385),ISNUMBER(I385)),H385*I385,"")</f>
        <v>900</v>
      </c>
    </row>
    <row r="386" customFormat="false" ht="15" hidden="false" customHeight="false" outlineLevel="0" collapsed="false">
      <c r="A386" s="13" t="n">
        <v>1153</v>
      </c>
      <c r="B386" s="14" t="n">
        <v>46218</v>
      </c>
      <c r="C386" s="13" t="s">
        <v>660</v>
      </c>
      <c r="D386" s="13" t="s">
        <v>661</v>
      </c>
      <c r="E386" s="13" t="s">
        <v>25</v>
      </c>
      <c r="F386" s="13" t="s">
        <v>20</v>
      </c>
      <c r="G386" s="13" t="s">
        <v>71</v>
      </c>
      <c r="H386" s="13" t="n">
        <v>2</v>
      </c>
      <c r="I386" s="15" t="n">
        <v>550</v>
      </c>
      <c r="J386" s="13" t="s">
        <v>64</v>
      </c>
      <c r="K386" s="13" t="s">
        <v>58</v>
      </c>
      <c r="L386" s="13" t="s">
        <v>35</v>
      </c>
      <c r="M386" s="15" t="n">
        <f aca="false">IF(AND(ISNUMBER(H386),ISNUMBER(I386)),H386*I386,"")</f>
        <v>1100</v>
      </c>
    </row>
    <row r="387" customFormat="false" ht="15" hidden="false" customHeight="false" outlineLevel="0" collapsed="false">
      <c r="A387" s="13" t="n">
        <v>1265</v>
      </c>
      <c r="B387" s="14" t="n">
        <v>46200</v>
      </c>
      <c r="C387" s="13" t="s">
        <v>660</v>
      </c>
      <c r="D387" s="13" t="s">
        <v>662</v>
      </c>
      <c r="E387" s="13" t="s">
        <v>24</v>
      </c>
      <c r="F387" s="13" t="s">
        <v>18</v>
      </c>
      <c r="G387" s="13" t="s">
        <v>63</v>
      </c>
      <c r="H387" s="13" t="n">
        <v>1</v>
      </c>
      <c r="I387" s="15" t="n">
        <v>950</v>
      </c>
      <c r="J387" s="13" t="s">
        <v>57</v>
      </c>
      <c r="K387" s="13" t="s">
        <v>58</v>
      </c>
      <c r="L387" s="13" t="s">
        <v>34</v>
      </c>
      <c r="M387" s="15" t="n">
        <f aca="false">IF(AND(ISNUMBER(H387),ISNUMBER(I387)),H387*I387,"")</f>
        <v>950</v>
      </c>
    </row>
    <row r="388" customFormat="false" ht="15" hidden="false" customHeight="false" outlineLevel="0" collapsed="false">
      <c r="A388" s="13" t="n">
        <v>1401</v>
      </c>
      <c r="B388" s="14" t="n">
        <v>46180</v>
      </c>
      <c r="C388" s="13" t="s">
        <v>449</v>
      </c>
      <c r="D388" s="13" t="s">
        <v>663</v>
      </c>
      <c r="E388" s="13" t="s">
        <v>25</v>
      </c>
      <c r="F388" s="13" t="s">
        <v>96</v>
      </c>
      <c r="G388" s="13" t="s">
        <v>56</v>
      </c>
      <c r="H388" s="13" t="n">
        <v>1</v>
      </c>
      <c r="I388" s="15" t="n">
        <v>320</v>
      </c>
      <c r="J388" s="13" t="s">
        <v>64</v>
      </c>
      <c r="K388" s="13" t="s">
        <v>58</v>
      </c>
      <c r="L388" s="13" t="s">
        <v>34</v>
      </c>
      <c r="M388" s="15" t="n">
        <f aca="false">IF(AND(ISNUMBER(H388),ISNUMBER(I388)),H388*I388,"")</f>
        <v>320</v>
      </c>
    </row>
    <row r="389" customFormat="false" ht="15" hidden="false" customHeight="false" outlineLevel="0" collapsed="false">
      <c r="A389" s="13" t="n">
        <v>1066</v>
      </c>
      <c r="B389" s="14" t="n">
        <v>46219</v>
      </c>
      <c r="C389" s="13" t="s">
        <v>563</v>
      </c>
      <c r="D389" s="13" t="s">
        <v>68</v>
      </c>
      <c r="E389" s="13" t="s">
        <v>24</v>
      </c>
      <c r="F389" s="13" t="s">
        <v>17</v>
      </c>
      <c r="G389" s="13" t="s">
        <v>86</v>
      </c>
      <c r="H389" s="13" t="n">
        <v>1</v>
      </c>
      <c r="I389" s="15" t="n">
        <v>900</v>
      </c>
      <c r="J389" s="13" t="s">
        <v>51</v>
      </c>
      <c r="K389" s="13" t="s">
        <v>58</v>
      </c>
      <c r="L389" s="13" t="s">
        <v>35</v>
      </c>
      <c r="M389" s="15" t="n">
        <f aca="false">IF(AND(ISNUMBER(H389),ISNUMBER(I389)),H389*I389,"")</f>
        <v>900</v>
      </c>
    </row>
    <row r="390" customFormat="false" ht="15" hidden="false" customHeight="false" outlineLevel="0" collapsed="false">
      <c r="A390" s="13" t="n">
        <v>1041</v>
      </c>
      <c r="B390" s="14" t="n">
        <v>46249</v>
      </c>
      <c r="C390" s="13" t="s">
        <v>69</v>
      </c>
      <c r="D390" s="13" t="s">
        <v>664</v>
      </c>
      <c r="E390" s="13" t="s">
        <v>28</v>
      </c>
      <c r="F390" s="13" t="s">
        <v>55</v>
      </c>
      <c r="G390" s="13" t="s">
        <v>56</v>
      </c>
      <c r="H390" s="13" t="n">
        <v>1</v>
      </c>
      <c r="I390" s="15" t="n">
        <v>450</v>
      </c>
      <c r="J390" s="13" t="s">
        <v>64</v>
      </c>
      <c r="K390" s="13" t="s">
        <v>80</v>
      </c>
      <c r="L390" s="13" t="s">
        <v>36</v>
      </c>
      <c r="M390" s="15" t="n">
        <f aca="false">IF(AND(ISNUMBER(H390),ISNUMBER(I390)),H390*I390,"")</f>
        <v>450</v>
      </c>
    </row>
    <row r="391" customFormat="false" ht="15" hidden="false" customHeight="false" outlineLevel="0" collapsed="false">
      <c r="A391" s="13" t="n">
        <v>1292</v>
      </c>
      <c r="B391" s="14" t="n">
        <v>46213</v>
      </c>
      <c r="C391" s="13" t="s">
        <v>665</v>
      </c>
      <c r="D391" s="13" t="s">
        <v>666</v>
      </c>
      <c r="E391" s="13" t="s">
        <v>24</v>
      </c>
      <c r="F391" s="13" t="s">
        <v>55</v>
      </c>
      <c r="G391" s="13" t="s">
        <v>56</v>
      </c>
      <c r="H391" s="13" t="n">
        <v>1</v>
      </c>
      <c r="I391" s="15" t="n">
        <v>450</v>
      </c>
      <c r="J391" s="13" t="s">
        <v>72</v>
      </c>
      <c r="K391" s="13" t="s">
        <v>80</v>
      </c>
      <c r="L391" s="13" t="s">
        <v>35</v>
      </c>
      <c r="M391" s="15" t="n">
        <f aca="false">IF(AND(ISNUMBER(H391),ISNUMBER(I391)),H391*I391,"")</f>
        <v>450</v>
      </c>
    </row>
    <row r="392" customFormat="false" ht="15" hidden="false" customHeight="false" outlineLevel="0" collapsed="false">
      <c r="A392" s="13" t="n">
        <v>1450</v>
      </c>
      <c r="B392" s="14" t="n">
        <v>46213</v>
      </c>
      <c r="C392" s="13" t="s">
        <v>534</v>
      </c>
      <c r="D392" s="13" t="s">
        <v>68</v>
      </c>
      <c r="E392" s="13" t="s">
        <v>24</v>
      </c>
      <c r="F392" s="13" t="s">
        <v>18</v>
      </c>
      <c r="G392" s="13" t="s">
        <v>63</v>
      </c>
      <c r="H392" s="13" t="n">
        <v>1</v>
      </c>
      <c r="I392" s="15" t="n">
        <v>950</v>
      </c>
      <c r="J392" s="13" t="s">
        <v>57</v>
      </c>
      <c r="K392" s="13" t="s">
        <v>58</v>
      </c>
      <c r="L392" s="13" t="s">
        <v>35</v>
      </c>
      <c r="M392" s="15" t="n">
        <f aca="false">IF(AND(ISNUMBER(H392),ISNUMBER(I392)),H392*I392,"")</f>
        <v>950</v>
      </c>
    </row>
    <row r="393" customFormat="false" ht="15" hidden="false" customHeight="false" outlineLevel="0" collapsed="false">
      <c r="A393" s="13" t="n">
        <v>1193</v>
      </c>
      <c r="B393" s="14" t="n">
        <v>46175</v>
      </c>
      <c r="C393" s="13" t="s">
        <v>459</v>
      </c>
      <c r="D393" s="13" t="s">
        <v>667</v>
      </c>
      <c r="E393" s="13" t="s">
        <v>27</v>
      </c>
      <c r="F393" s="13" t="s">
        <v>17</v>
      </c>
      <c r="G393" s="13" t="s">
        <v>86</v>
      </c>
      <c r="H393" s="13" t="n">
        <v>2</v>
      </c>
      <c r="I393" s="15" t="n">
        <v>900</v>
      </c>
      <c r="J393" s="13" t="s">
        <v>51</v>
      </c>
      <c r="K393" s="13" t="s">
        <v>58</v>
      </c>
      <c r="L393" s="13" t="s">
        <v>34</v>
      </c>
      <c r="M393" s="15" t="n">
        <f aca="false">IF(AND(ISNUMBER(H393),ISNUMBER(I393)),H393*I393,"")</f>
        <v>1800</v>
      </c>
    </row>
    <row r="394" customFormat="false" ht="15" hidden="false" customHeight="false" outlineLevel="0" collapsed="false">
      <c r="A394" s="13" t="n">
        <v>1321</v>
      </c>
      <c r="B394" s="14" t="n">
        <v>46243</v>
      </c>
      <c r="C394" s="13" t="s">
        <v>668</v>
      </c>
      <c r="D394" s="13" t="s">
        <v>669</v>
      </c>
      <c r="E394" s="13" t="s">
        <v>26</v>
      </c>
      <c r="F394" s="13" t="s">
        <v>96</v>
      </c>
      <c r="G394" s="13" t="s">
        <v>56</v>
      </c>
      <c r="H394" s="13" t="n">
        <v>1</v>
      </c>
      <c r="I394" s="15" t="n">
        <v>320</v>
      </c>
      <c r="J394" s="13" t="s">
        <v>64</v>
      </c>
      <c r="K394" s="13" t="s">
        <v>58</v>
      </c>
      <c r="L394" s="13" t="s">
        <v>36</v>
      </c>
      <c r="M394" s="15" t="n">
        <f aca="false">IF(AND(ISNUMBER(H394),ISNUMBER(I394)),H394*I394,"")</f>
        <v>320</v>
      </c>
    </row>
    <row r="395" customFormat="false" ht="15" hidden="false" customHeight="false" outlineLevel="0" collapsed="false">
      <c r="A395" s="13" t="n">
        <v>1219</v>
      </c>
      <c r="B395" s="14" t="n">
        <v>46238</v>
      </c>
      <c r="C395" s="13" t="s">
        <v>509</v>
      </c>
      <c r="D395" s="13" t="s">
        <v>670</v>
      </c>
      <c r="E395" s="13" t="s">
        <v>26</v>
      </c>
      <c r="F395" s="13" t="s">
        <v>20</v>
      </c>
      <c r="G395" s="13" t="s">
        <v>71</v>
      </c>
      <c r="H395" s="13" t="n">
        <v>4</v>
      </c>
      <c r="I395" s="15" t="n">
        <v>550</v>
      </c>
      <c r="J395" s="13" t="s">
        <v>64</v>
      </c>
      <c r="K395" s="13" t="s">
        <v>52</v>
      </c>
      <c r="L395" s="13" t="s">
        <v>36</v>
      </c>
      <c r="M395" s="15" t="n">
        <f aca="false">IF(AND(ISNUMBER(H395),ISNUMBER(I395)),H395*I395,"")</f>
        <v>2200</v>
      </c>
    </row>
    <row r="396" customFormat="false" ht="15" hidden="false" customHeight="false" outlineLevel="0" collapsed="false">
      <c r="A396" s="13" t="n">
        <v>1035</v>
      </c>
      <c r="B396" s="14" t="n">
        <v>46237</v>
      </c>
      <c r="C396" s="13" t="s">
        <v>453</v>
      </c>
      <c r="D396" s="13" t="s">
        <v>671</v>
      </c>
      <c r="E396" s="13"/>
      <c r="F396" s="13" t="s">
        <v>18</v>
      </c>
      <c r="G396" s="13" t="s">
        <v>63</v>
      </c>
      <c r="H396" s="13" t="n">
        <v>1</v>
      </c>
      <c r="I396" s="15" t="n">
        <v>950</v>
      </c>
      <c r="J396" s="13" t="s">
        <v>72</v>
      </c>
      <c r="K396" s="13" t="s">
        <v>58</v>
      </c>
      <c r="L396" s="13" t="s">
        <v>36</v>
      </c>
      <c r="M396" s="15" t="n">
        <f aca="false">IF(AND(ISNUMBER(H396),ISNUMBER(I396)),H396*I396,"")</f>
        <v>950</v>
      </c>
    </row>
    <row r="397" customFormat="false" ht="15" hidden="false" customHeight="false" outlineLevel="0" collapsed="false">
      <c r="A397" s="13" t="n">
        <v>1411</v>
      </c>
      <c r="B397" s="14" t="n">
        <v>46234</v>
      </c>
      <c r="C397" s="13" t="s">
        <v>589</v>
      </c>
      <c r="D397" s="13" t="s">
        <v>672</v>
      </c>
      <c r="E397" s="13" t="s">
        <v>24</v>
      </c>
      <c r="F397" s="13" t="s">
        <v>96</v>
      </c>
      <c r="G397" s="13" t="s">
        <v>56</v>
      </c>
      <c r="H397" s="13" t="n">
        <v>2</v>
      </c>
      <c r="I397" s="15" t="n">
        <v>320</v>
      </c>
      <c r="J397" s="13" t="s">
        <v>64</v>
      </c>
      <c r="K397" s="13" t="s">
        <v>58</v>
      </c>
      <c r="L397" s="13" t="s">
        <v>35</v>
      </c>
      <c r="M397" s="15" t="n">
        <f aca="false">IF(AND(ISNUMBER(H397),ISNUMBER(I397)),H397*I397,"")</f>
        <v>640</v>
      </c>
    </row>
    <row r="398" customFormat="false" ht="15" hidden="false" customHeight="false" outlineLevel="0" collapsed="false">
      <c r="A398" s="13" t="n">
        <v>1071</v>
      </c>
      <c r="B398" s="14" t="n">
        <v>46263</v>
      </c>
      <c r="C398" s="13" t="s">
        <v>335</v>
      </c>
      <c r="D398" s="13" t="s">
        <v>673</v>
      </c>
      <c r="E398" s="13" t="s">
        <v>25</v>
      </c>
      <c r="F398" s="13" t="s">
        <v>96</v>
      </c>
      <c r="G398" s="13" t="s">
        <v>56</v>
      </c>
      <c r="H398" s="13" t="n">
        <v>2</v>
      </c>
      <c r="I398" s="15" t="n">
        <v>320</v>
      </c>
      <c r="J398" s="13" t="s">
        <v>64</v>
      </c>
      <c r="K398" s="13" t="s">
        <v>58</v>
      </c>
      <c r="L398" s="13" t="s">
        <v>36</v>
      </c>
      <c r="M398" s="15" t="n">
        <f aca="false">IF(AND(ISNUMBER(H398),ISNUMBER(I398)),H398*I398,"")</f>
        <v>640</v>
      </c>
    </row>
    <row r="399" customFormat="false" ht="15" hidden="false" customHeight="false" outlineLevel="0" collapsed="false">
      <c r="A399" s="13" t="n">
        <v>1287</v>
      </c>
      <c r="B399" s="14" t="n">
        <v>46220</v>
      </c>
      <c r="C399" s="13" t="s">
        <v>374</v>
      </c>
      <c r="D399" s="13" t="s">
        <v>68</v>
      </c>
      <c r="E399" s="13" t="s">
        <v>24</v>
      </c>
      <c r="F399" s="13" t="s">
        <v>131</v>
      </c>
      <c r="G399" s="13" t="s">
        <v>56</v>
      </c>
      <c r="H399" s="13" t="n">
        <v>1</v>
      </c>
      <c r="I399" s="15" t="n">
        <v>180</v>
      </c>
      <c r="J399" s="13" t="s">
        <v>64</v>
      </c>
      <c r="K399" s="13" t="s">
        <v>52</v>
      </c>
      <c r="L399" s="13" t="s">
        <v>35</v>
      </c>
      <c r="M399" s="15" t="n">
        <f aca="false">IF(AND(ISNUMBER(H399),ISNUMBER(I399)),H399*I399,"")</f>
        <v>180</v>
      </c>
    </row>
    <row r="400" customFormat="false" ht="15" hidden="false" customHeight="false" outlineLevel="0" collapsed="false">
      <c r="A400" s="13" t="n">
        <v>1317</v>
      </c>
      <c r="B400" s="14" t="n">
        <v>46264</v>
      </c>
      <c r="C400" s="13" t="s">
        <v>84</v>
      </c>
      <c r="D400" s="13" t="s">
        <v>674</v>
      </c>
      <c r="E400" s="13" t="s">
        <v>24</v>
      </c>
      <c r="F400" s="13" t="s">
        <v>96</v>
      </c>
      <c r="G400" s="13" t="s">
        <v>56</v>
      </c>
      <c r="H400" s="13" t="n">
        <v>2</v>
      </c>
      <c r="I400" s="15" t="n">
        <v>320</v>
      </c>
      <c r="J400" s="13" t="s">
        <v>72</v>
      </c>
      <c r="K400" s="13" t="s">
        <v>58</v>
      </c>
      <c r="L400" s="13" t="s">
        <v>36</v>
      </c>
      <c r="M400" s="15" t="n">
        <f aca="false">IF(AND(ISNUMBER(H400),ISNUMBER(I400)),H400*I400,"")</f>
        <v>640</v>
      </c>
    </row>
    <row r="401" customFormat="false" ht="15" hidden="false" customHeight="false" outlineLevel="0" collapsed="false">
      <c r="A401" s="13" t="n">
        <v>1183</v>
      </c>
      <c r="B401" s="14" t="n">
        <v>46251</v>
      </c>
      <c r="C401" s="13" t="s">
        <v>549</v>
      </c>
      <c r="D401" s="13" t="s">
        <v>675</v>
      </c>
      <c r="E401" s="13" t="s">
        <v>26</v>
      </c>
      <c r="F401" s="13" t="s">
        <v>55</v>
      </c>
      <c r="G401" s="13" t="s">
        <v>56</v>
      </c>
      <c r="H401" s="13" t="n">
        <v>2</v>
      </c>
      <c r="I401" s="15" t="n">
        <v>450</v>
      </c>
      <c r="J401" s="13" t="s">
        <v>57</v>
      </c>
      <c r="K401" s="13" t="s">
        <v>75</v>
      </c>
      <c r="L401" s="13" t="s">
        <v>36</v>
      </c>
      <c r="M401" s="15" t="n">
        <f aca="false">IF(AND(ISNUMBER(H401),ISNUMBER(I401)),H401*I401,"")</f>
        <v>900</v>
      </c>
    </row>
    <row r="402" customFormat="false" ht="15" hidden="false" customHeight="false" outlineLevel="0" collapsed="false">
      <c r="A402" s="13" t="n">
        <v>1181</v>
      </c>
      <c r="B402" s="14" t="n">
        <v>46235</v>
      </c>
      <c r="C402" s="13" t="s">
        <v>243</v>
      </c>
      <c r="D402" s="13" t="s">
        <v>676</v>
      </c>
      <c r="E402" s="13" t="s">
        <v>25</v>
      </c>
      <c r="F402" s="13" t="s">
        <v>17</v>
      </c>
      <c r="G402" s="13" t="s">
        <v>86</v>
      </c>
      <c r="H402" s="13" t="n">
        <v>2</v>
      </c>
      <c r="I402" s="15" t="n">
        <v>900</v>
      </c>
      <c r="J402" s="13" t="s">
        <v>64</v>
      </c>
      <c r="K402" s="13" t="s">
        <v>58</v>
      </c>
      <c r="L402" s="13" t="s">
        <v>36</v>
      </c>
      <c r="M402" s="15" t="n">
        <f aca="false">IF(AND(ISNUMBER(H402),ISNUMBER(I402)),H402*I402,"")</f>
        <v>1800</v>
      </c>
    </row>
    <row r="403" customFormat="false" ht="15" hidden="false" customHeight="false" outlineLevel="0" collapsed="false">
      <c r="A403" s="13" t="n">
        <v>1257</v>
      </c>
      <c r="B403" s="14" t="n">
        <v>46189</v>
      </c>
      <c r="C403" s="13" t="s">
        <v>206</v>
      </c>
      <c r="D403" s="13" t="s">
        <v>677</v>
      </c>
      <c r="E403" s="13" t="s">
        <v>29</v>
      </c>
      <c r="F403" s="13" t="s">
        <v>131</v>
      </c>
      <c r="G403" s="13" t="s">
        <v>56</v>
      </c>
      <c r="H403" s="13" t="n">
        <v>1</v>
      </c>
      <c r="I403" s="15" t="n">
        <v>180</v>
      </c>
      <c r="J403" s="13" t="s">
        <v>72</v>
      </c>
      <c r="K403" s="13" t="s">
        <v>58</v>
      </c>
      <c r="L403" s="13" t="s">
        <v>34</v>
      </c>
      <c r="M403" s="15" t="n">
        <f aca="false">IF(AND(ISNUMBER(H403),ISNUMBER(I403)),H403*I403,"")</f>
        <v>180</v>
      </c>
    </row>
    <row r="404" customFormat="false" ht="15" hidden="false" customHeight="false" outlineLevel="0" collapsed="false">
      <c r="A404" s="13" t="n">
        <v>1243</v>
      </c>
      <c r="B404" s="14" t="n">
        <v>46263</v>
      </c>
      <c r="C404" s="13" t="s">
        <v>218</v>
      </c>
      <c r="D404" s="13" t="s">
        <v>678</v>
      </c>
      <c r="E404" s="13"/>
      <c r="F404" s="13" t="s">
        <v>19</v>
      </c>
      <c r="G404" s="13" t="s">
        <v>86</v>
      </c>
      <c r="H404" s="13" t="n">
        <v>3</v>
      </c>
      <c r="I404" s="15" t="n">
        <v>750</v>
      </c>
      <c r="J404" s="13" t="s">
        <v>72</v>
      </c>
      <c r="K404" s="13" t="s">
        <v>58</v>
      </c>
      <c r="L404" s="13" t="s">
        <v>36</v>
      </c>
      <c r="M404" s="15" t="n">
        <f aca="false">IF(AND(ISNUMBER(H404),ISNUMBER(I404)),H404*I404,"")</f>
        <v>2250</v>
      </c>
    </row>
    <row r="405" customFormat="false" ht="15" hidden="false" customHeight="false" outlineLevel="0" collapsed="false">
      <c r="A405" s="13" t="n">
        <v>1424</v>
      </c>
      <c r="B405" s="14" t="n">
        <v>46232</v>
      </c>
      <c r="C405" s="13" t="s">
        <v>679</v>
      </c>
      <c r="D405" s="13" t="s">
        <v>680</v>
      </c>
      <c r="E405" s="13" t="s">
        <v>29</v>
      </c>
      <c r="F405" s="13" t="s">
        <v>16</v>
      </c>
      <c r="G405" s="13" t="s">
        <v>101</v>
      </c>
      <c r="H405" s="13" t="n">
        <v>2</v>
      </c>
      <c r="I405" s="15" t="n">
        <v>1100</v>
      </c>
      <c r="J405" s="13" t="s">
        <v>57</v>
      </c>
      <c r="K405" s="13" t="s">
        <v>58</v>
      </c>
      <c r="L405" s="13" t="s">
        <v>35</v>
      </c>
      <c r="M405" s="15" t="n">
        <f aca="false">IF(AND(ISNUMBER(H405),ISNUMBER(I405)),H405*I405,"")</f>
        <v>2200</v>
      </c>
    </row>
    <row r="406" customFormat="false" ht="15" hidden="false" customHeight="false" outlineLevel="0" collapsed="false">
      <c r="A406" s="13" t="n">
        <v>1293</v>
      </c>
      <c r="B406" s="14" t="n">
        <v>46259</v>
      </c>
      <c r="C406" s="13" t="s">
        <v>681</v>
      </c>
      <c r="D406" s="13" t="s">
        <v>682</v>
      </c>
      <c r="E406" s="13" t="s">
        <v>24</v>
      </c>
      <c r="F406" s="13" t="s">
        <v>19</v>
      </c>
      <c r="G406" s="13" t="s">
        <v>86</v>
      </c>
      <c r="H406" s="13" t="n">
        <v>3</v>
      </c>
      <c r="I406" s="15" t="n">
        <v>750</v>
      </c>
      <c r="J406" s="13" t="s">
        <v>72</v>
      </c>
      <c r="K406" s="13" t="s">
        <v>58</v>
      </c>
      <c r="L406" s="13" t="s">
        <v>36</v>
      </c>
      <c r="M406" s="15" t="n">
        <f aca="false">IF(AND(ISNUMBER(H406),ISNUMBER(I406)),H406*I406,"")</f>
        <v>2250</v>
      </c>
    </row>
    <row r="407" customFormat="false" ht="15" hidden="false" customHeight="false" outlineLevel="0" collapsed="false">
      <c r="A407" s="13" t="n">
        <v>1107</v>
      </c>
      <c r="B407" s="14" t="n">
        <v>46221</v>
      </c>
      <c r="C407" s="13" t="s">
        <v>361</v>
      </c>
      <c r="D407" s="13" t="s">
        <v>683</v>
      </c>
      <c r="E407" s="13" t="s">
        <v>25</v>
      </c>
      <c r="F407" s="13" t="s">
        <v>49</v>
      </c>
      <c r="G407" s="13" t="s">
        <v>50</v>
      </c>
      <c r="H407" s="13" t="n">
        <v>1</v>
      </c>
      <c r="I407" s="15" t="n">
        <v>120</v>
      </c>
      <c r="J407" s="13" t="s">
        <v>51</v>
      </c>
      <c r="K407" s="13" t="s">
        <v>75</v>
      </c>
      <c r="L407" s="13" t="s">
        <v>35</v>
      </c>
      <c r="M407" s="15" t="n">
        <f aca="false">IF(AND(ISNUMBER(H407),ISNUMBER(I407)),H407*I407,"")</f>
        <v>120</v>
      </c>
    </row>
    <row r="408" customFormat="false" ht="15" hidden="false" customHeight="false" outlineLevel="0" collapsed="false">
      <c r="A408" s="13" t="n">
        <v>1427</v>
      </c>
      <c r="B408" s="14" t="n">
        <v>46247</v>
      </c>
      <c r="C408" s="13" t="s">
        <v>479</v>
      </c>
      <c r="D408" s="13" t="s">
        <v>684</v>
      </c>
      <c r="E408" s="13"/>
      <c r="F408" s="13" t="s">
        <v>17</v>
      </c>
      <c r="G408" s="13" t="s">
        <v>86</v>
      </c>
      <c r="H408" s="13" t="n">
        <v>1</v>
      </c>
      <c r="I408" s="15" t="n">
        <v>900</v>
      </c>
      <c r="J408" s="13" t="s">
        <v>57</v>
      </c>
      <c r="K408" s="13" t="s">
        <v>58</v>
      </c>
      <c r="L408" s="13" t="s">
        <v>36</v>
      </c>
      <c r="M408" s="15" t="n">
        <f aca="false">IF(AND(ISNUMBER(H408),ISNUMBER(I408)),H408*I408,"")</f>
        <v>900</v>
      </c>
    </row>
    <row r="409" customFormat="false" ht="15" hidden="false" customHeight="false" outlineLevel="0" collapsed="false">
      <c r="A409" s="13" t="n">
        <v>1098</v>
      </c>
      <c r="B409" s="14" t="n">
        <v>46184</v>
      </c>
      <c r="C409" s="13" t="s">
        <v>204</v>
      </c>
      <c r="D409" s="13" t="s">
        <v>685</v>
      </c>
      <c r="E409" s="13" t="s">
        <v>25</v>
      </c>
      <c r="F409" s="13" t="s">
        <v>91</v>
      </c>
      <c r="G409" s="13" t="s">
        <v>71</v>
      </c>
      <c r="H409" s="13" t="n">
        <v>2</v>
      </c>
      <c r="I409" s="15" t="n">
        <v>300</v>
      </c>
      <c r="J409" s="13" t="s">
        <v>57</v>
      </c>
      <c r="K409" s="13" t="s">
        <v>75</v>
      </c>
      <c r="L409" s="13" t="s">
        <v>34</v>
      </c>
      <c r="M409" s="15" t="n">
        <f aca="false">IF(AND(ISNUMBER(H409),ISNUMBER(I409)),H409*I409,"")</f>
        <v>600</v>
      </c>
    </row>
    <row r="410" customFormat="false" ht="15" hidden="false" customHeight="false" outlineLevel="0" collapsed="false">
      <c r="A410" s="13" t="n">
        <v>1255</v>
      </c>
      <c r="B410" s="14" t="n">
        <v>46179</v>
      </c>
      <c r="C410" s="13" t="s">
        <v>92</v>
      </c>
      <c r="D410" s="13" t="s">
        <v>686</v>
      </c>
      <c r="E410" s="13" t="s">
        <v>30</v>
      </c>
      <c r="F410" s="13" t="s">
        <v>131</v>
      </c>
      <c r="G410" s="13" t="s">
        <v>56</v>
      </c>
      <c r="H410" s="13" t="n">
        <v>1</v>
      </c>
      <c r="I410" s="15" t="n">
        <v>180</v>
      </c>
      <c r="J410" s="13" t="s">
        <v>64</v>
      </c>
      <c r="K410" s="13" t="s">
        <v>58</v>
      </c>
      <c r="L410" s="13" t="s">
        <v>34</v>
      </c>
      <c r="M410" s="15" t="n">
        <f aca="false">IF(AND(ISNUMBER(H410),ISNUMBER(I410)),H410*I410,"")</f>
        <v>180</v>
      </c>
    </row>
    <row r="411" customFormat="false" ht="15" hidden="false" customHeight="false" outlineLevel="0" collapsed="false">
      <c r="A411" s="13" t="n">
        <v>1329</v>
      </c>
      <c r="B411" s="14" t="n">
        <v>46189</v>
      </c>
      <c r="C411" s="13" t="s">
        <v>359</v>
      </c>
      <c r="D411" s="13" t="s">
        <v>687</v>
      </c>
      <c r="E411" s="13" t="s">
        <v>26</v>
      </c>
      <c r="F411" s="13" t="s">
        <v>17</v>
      </c>
      <c r="G411" s="13" t="s">
        <v>86</v>
      </c>
      <c r="H411" s="13" t="n">
        <v>1</v>
      </c>
      <c r="I411" s="15" t="n">
        <v>900</v>
      </c>
      <c r="J411" s="13" t="s">
        <v>57</v>
      </c>
      <c r="K411" s="13" t="s">
        <v>52</v>
      </c>
      <c r="L411" s="13" t="s">
        <v>34</v>
      </c>
      <c r="M411" s="15" t="n">
        <f aca="false">IF(AND(ISNUMBER(H411),ISNUMBER(I411)),H411*I411,"")</f>
        <v>900</v>
      </c>
    </row>
    <row r="412" customFormat="false" ht="15" hidden="false" customHeight="false" outlineLevel="0" collapsed="false">
      <c r="A412" s="13" t="n">
        <v>1374</v>
      </c>
      <c r="B412" s="14" t="n">
        <v>46250</v>
      </c>
      <c r="C412" s="13" t="s">
        <v>256</v>
      </c>
      <c r="D412" s="13" t="s">
        <v>688</v>
      </c>
      <c r="E412" s="13" t="s">
        <v>29</v>
      </c>
      <c r="F412" s="13" t="s">
        <v>20</v>
      </c>
      <c r="G412" s="13" t="s">
        <v>71</v>
      </c>
      <c r="H412" s="13" t="n">
        <v>3</v>
      </c>
      <c r="I412" s="15" t="n">
        <v>550</v>
      </c>
      <c r="J412" s="13" t="s">
        <v>64</v>
      </c>
      <c r="K412" s="13" t="s">
        <v>58</v>
      </c>
      <c r="L412" s="13" t="s">
        <v>36</v>
      </c>
      <c r="M412" s="15" t="n">
        <f aca="false">IF(AND(ISNUMBER(H412),ISNUMBER(I412)),H412*I412,"")</f>
        <v>1650</v>
      </c>
    </row>
    <row r="413" customFormat="false" ht="15" hidden="false" customHeight="false" outlineLevel="0" collapsed="false">
      <c r="A413" s="13" t="n">
        <v>1350</v>
      </c>
      <c r="B413" s="14" t="n">
        <v>46251</v>
      </c>
      <c r="C413" s="13" t="s">
        <v>534</v>
      </c>
      <c r="D413" s="13" t="s">
        <v>689</v>
      </c>
      <c r="E413" s="13" t="s">
        <v>28</v>
      </c>
      <c r="F413" s="13" t="s">
        <v>17</v>
      </c>
      <c r="G413" s="13" t="s">
        <v>86</v>
      </c>
      <c r="H413" s="13" t="n">
        <v>1</v>
      </c>
      <c r="I413" s="15" t="n">
        <v>900</v>
      </c>
      <c r="J413" s="13" t="s">
        <v>64</v>
      </c>
      <c r="K413" s="13" t="s">
        <v>52</v>
      </c>
      <c r="L413" s="13" t="s">
        <v>36</v>
      </c>
      <c r="M413" s="15" t="n">
        <f aca="false">IF(AND(ISNUMBER(H413),ISNUMBER(I413)),H413*I413,"")</f>
        <v>900</v>
      </c>
    </row>
    <row r="414" customFormat="false" ht="15" hidden="false" customHeight="false" outlineLevel="0" collapsed="false">
      <c r="A414" s="13" t="n">
        <v>1095</v>
      </c>
      <c r="B414" s="14" t="n">
        <v>46226</v>
      </c>
      <c r="C414" s="13" t="s">
        <v>616</v>
      </c>
      <c r="D414" s="13" t="s">
        <v>690</v>
      </c>
      <c r="E414" s="13" t="s">
        <v>26</v>
      </c>
      <c r="F414" s="13" t="s">
        <v>20</v>
      </c>
      <c r="G414" s="13" t="s">
        <v>71</v>
      </c>
      <c r="H414" s="13" t="n">
        <v>1</v>
      </c>
      <c r="I414" s="15" t="n">
        <v>550</v>
      </c>
      <c r="J414" s="13" t="s">
        <v>72</v>
      </c>
      <c r="K414" s="13" t="s">
        <v>52</v>
      </c>
      <c r="L414" s="13" t="s">
        <v>35</v>
      </c>
      <c r="M414" s="15" t="n">
        <f aca="false">IF(AND(ISNUMBER(H414),ISNUMBER(I414)),H414*I414,"")</f>
        <v>550</v>
      </c>
    </row>
    <row r="415" customFormat="false" ht="15" hidden="false" customHeight="false" outlineLevel="0" collapsed="false">
      <c r="A415" s="13" t="n">
        <v>1175</v>
      </c>
      <c r="B415" s="14" t="n">
        <v>46244</v>
      </c>
      <c r="C415" s="13" t="s">
        <v>328</v>
      </c>
      <c r="D415" s="13" t="s">
        <v>691</v>
      </c>
      <c r="E415" s="13" t="s">
        <v>25</v>
      </c>
      <c r="F415" s="13" t="s">
        <v>18</v>
      </c>
      <c r="G415" s="13" t="s">
        <v>63</v>
      </c>
      <c r="H415" s="13" t="n">
        <v>1</v>
      </c>
      <c r="I415" s="15" t="n">
        <v>950</v>
      </c>
      <c r="J415" s="13" t="s">
        <v>72</v>
      </c>
      <c r="K415" s="13" t="s">
        <v>58</v>
      </c>
      <c r="L415" s="13" t="s">
        <v>36</v>
      </c>
      <c r="M415" s="15" t="n">
        <f aca="false">IF(AND(ISNUMBER(H415),ISNUMBER(I415)),H415*I415,"")</f>
        <v>950</v>
      </c>
    </row>
    <row r="416" customFormat="false" ht="15" hidden="false" customHeight="false" outlineLevel="0" collapsed="false">
      <c r="A416" s="13" t="n">
        <v>1037</v>
      </c>
      <c r="B416" s="14" t="n">
        <v>46231</v>
      </c>
      <c r="C416" s="13" t="s">
        <v>692</v>
      </c>
      <c r="D416" s="13" t="s">
        <v>693</v>
      </c>
      <c r="E416" s="13" t="s">
        <v>29</v>
      </c>
      <c r="F416" s="13" t="s">
        <v>16</v>
      </c>
      <c r="G416" s="13" t="s">
        <v>101</v>
      </c>
      <c r="H416" s="13" t="n">
        <v>3</v>
      </c>
      <c r="I416" s="15" t="n">
        <v>1100</v>
      </c>
      <c r="J416" s="13" t="s">
        <v>57</v>
      </c>
      <c r="K416" s="13" t="s">
        <v>52</v>
      </c>
      <c r="L416" s="13" t="s">
        <v>35</v>
      </c>
      <c r="M416" s="15" t="n">
        <f aca="false">IF(AND(ISNUMBER(H416),ISNUMBER(I416)),H416*I416,"")</f>
        <v>3300</v>
      </c>
    </row>
    <row r="417" customFormat="false" ht="15" hidden="false" customHeight="false" outlineLevel="0" collapsed="false">
      <c r="A417" s="13" t="n">
        <v>1443</v>
      </c>
      <c r="B417" s="14" t="n">
        <v>46262</v>
      </c>
      <c r="C417" s="13" t="s">
        <v>463</v>
      </c>
      <c r="D417" s="13" t="s">
        <v>694</v>
      </c>
      <c r="E417" s="13" t="s">
        <v>27</v>
      </c>
      <c r="F417" s="13" t="s">
        <v>19</v>
      </c>
      <c r="G417" s="13" t="s">
        <v>86</v>
      </c>
      <c r="H417" s="13" t="n">
        <v>1</v>
      </c>
      <c r="I417" s="15" t="n">
        <v>750</v>
      </c>
      <c r="J417" s="13" t="s">
        <v>51</v>
      </c>
      <c r="K417" s="13" t="s">
        <v>58</v>
      </c>
      <c r="L417" s="13" t="s">
        <v>36</v>
      </c>
      <c r="M417" s="15" t="n">
        <f aca="false">IF(AND(ISNUMBER(H417),ISNUMBER(I417)),H417*I417,"")</f>
        <v>750</v>
      </c>
    </row>
    <row r="418" customFormat="false" ht="15" hidden="false" customHeight="false" outlineLevel="0" collapsed="false">
      <c r="A418" s="13" t="n">
        <v>1280</v>
      </c>
      <c r="B418" s="14" t="n">
        <v>46192</v>
      </c>
      <c r="C418" s="13" t="s">
        <v>399</v>
      </c>
      <c r="D418" s="13" t="s">
        <v>695</v>
      </c>
      <c r="E418" s="13" t="s">
        <v>28</v>
      </c>
      <c r="F418" s="13" t="s">
        <v>17</v>
      </c>
      <c r="G418" s="13" t="s">
        <v>86</v>
      </c>
      <c r="H418" s="13" t="n">
        <v>1</v>
      </c>
      <c r="I418" s="15" t="n">
        <v>900</v>
      </c>
      <c r="J418" s="13" t="s">
        <v>51</v>
      </c>
      <c r="K418" s="13" t="s">
        <v>52</v>
      </c>
      <c r="L418" s="13" t="s">
        <v>34</v>
      </c>
      <c r="M418" s="15" t="n">
        <f aca="false">IF(AND(ISNUMBER(H418),ISNUMBER(I418)),H418*I418,"")</f>
        <v>900</v>
      </c>
    </row>
    <row r="419" customFormat="false" ht="15" hidden="false" customHeight="false" outlineLevel="0" collapsed="false">
      <c r="A419" s="13" t="n">
        <v>1291</v>
      </c>
      <c r="B419" s="14" t="n">
        <v>46181</v>
      </c>
      <c r="C419" s="13" t="s">
        <v>325</v>
      </c>
      <c r="D419" s="13" t="s">
        <v>696</v>
      </c>
      <c r="E419" s="13" t="s">
        <v>28</v>
      </c>
      <c r="F419" s="13" t="s">
        <v>49</v>
      </c>
      <c r="G419" s="13" t="s">
        <v>50</v>
      </c>
      <c r="H419" s="13" t="n">
        <v>2</v>
      </c>
      <c r="I419" s="15" t="n">
        <v>120</v>
      </c>
      <c r="J419" s="13" t="s">
        <v>51</v>
      </c>
      <c r="K419" s="13" t="s">
        <v>80</v>
      </c>
      <c r="L419" s="13" t="s">
        <v>34</v>
      </c>
      <c r="M419" s="15" t="n">
        <f aca="false">IF(AND(ISNUMBER(H419),ISNUMBER(I419)),H419*I419,"")</f>
        <v>240</v>
      </c>
    </row>
    <row r="420" customFormat="false" ht="15" hidden="false" customHeight="false" outlineLevel="0" collapsed="false">
      <c r="A420" s="13" t="n">
        <v>1209</v>
      </c>
      <c r="B420" s="14" t="n">
        <v>46179</v>
      </c>
      <c r="C420" s="13" t="s">
        <v>61</v>
      </c>
      <c r="D420" s="13" t="s">
        <v>697</v>
      </c>
      <c r="E420" s="13" t="s">
        <v>26</v>
      </c>
      <c r="F420" s="13" t="s">
        <v>131</v>
      </c>
      <c r="G420" s="13" t="s">
        <v>56</v>
      </c>
      <c r="H420" s="13" t="n">
        <v>1</v>
      </c>
      <c r="I420" s="15" t="n">
        <v>180</v>
      </c>
      <c r="J420" s="13" t="s">
        <v>72</v>
      </c>
      <c r="K420" s="13" t="s">
        <v>52</v>
      </c>
      <c r="L420" s="13" t="s">
        <v>34</v>
      </c>
      <c r="M420" s="15" t="n">
        <f aca="false">IF(AND(ISNUMBER(H420),ISNUMBER(I420)),H420*I420,"")</f>
        <v>180</v>
      </c>
    </row>
    <row r="421" customFormat="false" ht="15" hidden="false" customHeight="false" outlineLevel="0" collapsed="false">
      <c r="A421" s="13" t="n">
        <v>1397</v>
      </c>
      <c r="B421" s="14" t="n">
        <v>46212</v>
      </c>
      <c r="C421" s="13" t="s">
        <v>352</v>
      </c>
      <c r="D421" s="13" t="s">
        <v>698</v>
      </c>
      <c r="E421" s="13" t="s">
        <v>26</v>
      </c>
      <c r="F421" s="13" t="s">
        <v>16</v>
      </c>
      <c r="G421" s="13" t="s">
        <v>101</v>
      </c>
      <c r="H421" s="13" t="n">
        <v>1</v>
      </c>
      <c r="I421" s="15" t="n">
        <v>1100</v>
      </c>
      <c r="J421" s="13" t="s">
        <v>57</v>
      </c>
      <c r="K421" s="13" t="s">
        <v>58</v>
      </c>
      <c r="L421" s="13" t="s">
        <v>35</v>
      </c>
      <c r="M421" s="15" t="n">
        <f aca="false">IF(AND(ISNUMBER(H421),ISNUMBER(I421)),H421*I421,"")</f>
        <v>1100</v>
      </c>
    </row>
    <row r="422" customFormat="false" ht="15" hidden="false" customHeight="false" outlineLevel="0" collapsed="false">
      <c r="A422" s="13" t="n">
        <v>1185</v>
      </c>
      <c r="B422" s="14" t="n">
        <v>46228</v>
      </c>
      <c r="C422" s="13" t="s">
        <v>632</v>
      </c>
      <c r="D422" s="13" t="s">
        <v>699</v>
      </c>
      <c r="E422" s="13" t="s">
        <v>29</v>
      </c>
      <c r="F422" s="13" t="s">
        <v>17</v>
      </c>
      <c r="G422" s="13" t="s">
        <v>86</v>
      </c>
      <c r="H422" s="13" t="n">
        <v>1</v>
      </c>
      <c r="I422" s="15" t="n">
        <v>900</v>
      </c>
      <c r="J422" s="13" t="s">
        <v>72</v>
      </c>
      <c r="K422" s="13" t="s">
        <v>75</v>
      </c>
      <c r="L422" s="13" t="s">
        <v>35</v>
      </c>
      <c r="M422" s="15" t="n">
        <f aca="false">IF(AND(ISNUMBER(H422),ISNUMBER(I422)),H422*I422,"")</f>
        <v>900</v>
      </c>
    </row>
    <row r="423" customFormat="false" ht="15" hidden="false" customHeight="false" outlineLevel="0" collapsed="false">
      <c r="A423" s="13" t="n">
        <v>1003</v>
      </c>
      <c r="B423" s="14" t="n">
        <v>46200</v>
      </c>
      <c r="C423" s="13" t="s">
        <v>444</v>
      </c>
      <c r="D423" s="13" t="s">
        <v>700</v>
      </c>
      <c r="E423" s="13" t="s">
        <v>26</v>
      </c>
      <c r="F423" s="13" t="s">
        <v>96</v>
      </c>
      <c r="G423" s="13" t="s">
        <v>56</v>
      </c>
      <c r="H423" s="13" t="n">
        <v>1</v>
      </c>
      <c r="I423" s="15" t="n">
        <v>320</v>
      </c>
      <c r="J423" s="13" t="s">
        <v>64</v>
      </c>
      <c r="K423" s="13" t="s">
        <v>58</v>
      </c>
      <c r="L423" s="13" t="s">
        <v>34</v>
      </c>
      <c r="M423" s="15" t="n">
        <f aca="false">IF(AND(ISNUMBER(H423),ISNUMBER(I423)),H423*I423,"")</f>
        <v>320</v>
      </c>
    </row>
    <row r="424" customFormat="false" ht="15" hidden="false" customHeight="false" outlineLevel="0" collapsed="false">
      <c r="A424" s="13" t="n">
        <v>1072</v>
      </c>
      <c r="B424" s="14" t="n">
        <v>46231</v>
      </c>
      <c r="C424" s="13" t="s">
        <v>426</v>
      </c>
      <c r="D424" s="13" t="s">
        <v>68</v>
      </c>
      <c r="E424" s="13" t="s">
        <v>29</v>
      </c>
      <c r="F424" s="13" t="s">
        <v>55</v>
      </c>
      <c r="G424" s="13" t="s">
        <v>56</v>
      </c>
      <c r="H424" s="13" t="n">
        <v>2</v>
      </c>
      <c r="I424" s="15" t="n">
        <v>450</v>
      </c>
      <c r="J424" s="13" t="s">
        <v>51</v>
      </c>
      <c r="K424" s="13" t="s">
        <v>58</v>
      </c>
      <c r="L424" s="13" t="s">
        <v>35</v>
      </c>
      <c r="M424" s="15" t="n">
        <f aca="false">IF(AND(ISNUMBER(H424),ISNUMBER(I424)),H424*I424,"")</f>
        <v>900</v>
      </c>
    </row>
    <row r="425" customFormat="false" ht="15" hidden="false" customHeight="false" outlineLevel="0" collapsed="false">
      <c r="A425" s="13" t="n">
        <v>1018</v>
      </c>
      <c r="B425" s="14" t="n">
        <v>46198</v>
      </c>
      <c r="C425" s="13" t="s">
        <v>618</v>
      </c>
      <c r="D425" s="13" t="s">
        <v>701</v>
      </c>
      <c r="E425" s="13" t="s">
        <v>26</v>
      </c>
      <c r="F425" s="13" t="s">
        <v>91</v>
      </c>
      <c r="G425" s="13" t="s">
        <v>71</v>
      </c>
      <c r="H425" s="13" t="n">
        <v>1</v>
      </c>
      <c r="I425" s="15" t="n">
        <v>300</v>
      </c>
      <c r="J425" s="13" t="s">
        <v>72</v>
      </c>
      <c r="K425" s="13" t="s">
        <v>58</v>
      </c>
      <c r="L425" s="13" t="s">
        <v>34</v>
      </c>
      <c r="M425" s="15" t="n">
        <f aca="false">IF(AND(ISNUMBER(H425),ISNUMBER(I425)),H425*I425,"")</f>
        <v>300</v>
      </c>
    </row>
    <row r="426" customFormat="false" ht="15" hidden="false" customHeight="false" outlineLevel="0" collapsed="false">
      <c r="A426" s="13" t="n">
        <v>1105</v>
      </c>
      <c r="B426" s="14" t="n">
        <v>46264</v>
      </c>
      <c r="C426" s="13" t="s">
        <v>702</v>
      </c>
      <c r="D426" s="13" t="s">
        <v>703</v>
      </c>
      <c r="E426" s="13"/>
      <c r="F426" s="13" t="s">
        <v>131</v>
      </c>
      <c r="G426" s="13" t="s">
        <v>56</v>
      </c>
      <c r="H426" s="13" t="n">
        <v>1</v>
      </c>
      <c r="I426" s="15" t="n">
        <v>180</v>
      </c>
      <c r="J426" s="13" t="s">
        <v>57</v>
      </c>
      <c r="K426" s="13" t="s">
        <v>58</v>
      </c>
      <c r="L426" s="13" t="s">
        <v>36</v>
      </c>
      <c r="M426" s="15" t="n">
        <f aca="false">IF(AND(ISNUMBER(H426),ISNUMBER(I426)),H426*I426,"")</f>
        <v>180</v>
      </c>
    </row>
    <row r="427" customFormat="false" ht="15" hidden="false" customHeight="false" outlineLevel="0" collapsed="false">
      <c r="A427" s="13" t="n">
        <v>1050</v>
      </c>
      <c r="B427" s="14" t="n">
        <v>46259</v>
      </c>
      <c r="C427" s="13" t="s">
        <v>574</v>
      </c>
      <c r="D427" s="13" t="s">
        <v>704</v>
      </c>
      <c r="E427" s="13"/>
      <c r="F427" s="13" t="s">
        <v>17</v>
      </c>
      <c r="G427" s="13" t="s">
        <v>86</v>
      </c>
      <c r="H427" s="13" t="n">
        <v>2</v>
      </c>
      <c r="I427" s="15" t="n">
        <v>900</v>
      </c>
      <c r="J427" s="13" t="s">
        <v>72</v>
      </c>
      <c r="K427" s="13" t="s">
        <v>58</v>
      </c>
      <c r="L427" s="13" t="s">
        <v>36</v>
      </c>
      <c r="M427" s="15" t="n">
        <f aca="false">IF(AND(ISNUMBER(H427),ISNUMBER(I427)),H427*I427,"")</f>
        <v>1800</v>
      </c>
    </row>
    <row r="428" customFormat="false" ht="15" hidden="false" customHeight="false" outlineLevel="0" collapsed="false">
      <c r="A428" s="13" t="n">
        <v>1343</v>
      </c>
      <c r="B428" s="14" t="n">
        <v>46207</v>
      </c>
      <c r="C428" s="13" t="s">
        <v>106</v>
      </c>
      <c r="D428" s="13" t="s">
        <v>705</v>
      </c>
      <c r="E428" s="13" t="s">
        <v>25</v>
      </c>
      <c r="F428" s="13" t="s">
        <v>20</v>
      </c>
      <c r="G428" s="13" t="s">
        <v>71</v>
      </c>
      <c r="H428" s="13" t="n">
        <v>1</v>
      </c>
      <c r="I428" s="15" t="n">
        <v>550</v>
      </c>
      <c r="J428" s="13" t="s">
        <v>72</v>
      </c>
      <c r="K428" s="13" t="s">
        <v>80</v>
      </c>
      <c r="L428" s="13" t="s">
        <v>35</v>
      </c>
      <c r="M428" s="15" t="n">
        <f aca="false">IF(AND(ISNUMBER(H428),ISNUMBER(I428)),H428*I428,"")</f>
        <v>550</v>
      </c>
    </row>
    <row r="429" customFormat="false" ht="15" hidden="false" customHeight="false" outlineLevel="0" collapsed="false">
      <c r="A429" s="13" t="n">
        <v>1323</v>
      </c>
      <c r="B429" s="14" t="n">
        <v>46183</v>
      </c>
      <c r="C429" s="13" t="s">
        <v>143</v>
      </c>
      <c r="D429" s="13" t="s">
        <v>706</v>
      </c>
      <c r="E429" s="13" t="s">
        <v>24</v>
      </c>
      <c r="F429" s="13" t="s">
        <v>16</v>
      </c>
      <c r="G429" s="13" t="s">
        <v>101</v>
      </c>
      <c r="H429" s="13" t="n">
        <v>1</v>
      </c>
      <c r="I429" s="15" t="n">
        <v>1100</v>
      </c>
      <c r="J429" s="13" t="s">
        <v>64</v>
      </c>
      <c r="K429" s="13" t="s">
        <v>58</v>
      </c>
      <c r="L429" s="13" t="s">
        <v>34</v>
      </c>
      <c r="M429" s="15" t="n">
        <f aca="false">IF(AND(ISNUMBER(H429),ISNUMBER(I429)),H429*I429,"")</f>
        <v>1100</v>
      </c>
    </row>
    <row r="430" customFormat="false" ht="15" hidden="false" customHeight="false" outlineLevel="0" collapsed="false">
      <c r="A430" s="13" t="n">
        <v>1013</v>
      </c>
      <c r="B430" s="14" t="n">
        <v>46210</v>
      </c>
      <c r="C430" s="13" t="s">
        <v>561</v>
      </c>
      <c r="D430" s="13" t="s">
        <v>707</v>
      </c>
      <c r="E430" s="13"/>
      <c r="F430" s="13" t="s">
        <v>55</v>
      </c>
      <c r="G430" s="13" t="s">
        <v>56</v>
      </c>
      <c r="H430" s="13" t="n">
        <v>1</v>
      </c>
      <c r="I430" s="15" t="n">
        <v>450</v>
      </c>
      <c r="J430" s="13" t="s">
        <v>64</v>
      </c>
      <c r="K430" s="13" t="s">
        <v>52</v>
      </c>
      <c r="L430" s="13" t="s">
        <v>35</v>
      </c>
      <c r="M430" s="15" t="n">
        <f aca="false">IF(AND(ISNUMBER(H430),ISNUMBER(I430)),H430*I430,"")</f>
        <v>450</v>
      </c>
    </row>
    <row r="431" customFormat="false" ht="15" hidden="false" customHeight="false" outlineLevel="0" collapsed="false">
      <c r="A431" s="13" t="n">
        <v>1299</v>
      </c>
      <c r="B431" s="14" t="n">
        <v>46193</v>
      </c>
      <c r="C431" s="13" t="s">
        <v>574</v>
      </c>
      <c r="D431" s="13" t="s">
        <v>708</v>
      </c>
      <c r="E431" s="13" t="s">
        <v>24</v>
      </c>
      <c r="F431" s="13" t="s">
        <v>19</v>
      </c>
      <c r="G431" s="13" t="s">
        <v>86</v>
      </c>
      <c r="H431" s="13" t="n">
        <v>2</v>
      </c>
      <c r="I431" s="15" t="n">
        <v>750</v>
      </c>
      <c r="J431" s="13" t="s">
        <v>51</v>
      </c>
      <c r="K431" s="13" t="s">
        <v>58</v>
      </c>
      <c r="L431" s="13" t="s">
        <v>34</v>
      </c>
      <c r="M431" s="15" t="n">
        <f aca="false">IF(AND(ISNUMBER(H431),ISNUMBER(I431)),H431*I431,"")</f>
        <v>1500</v>
      </c>
    </row>
    <row r="432" customFormat="false" ht="15" hidden="false" customHeight="false" outlineLevel="0" collapsed="false">
      <c r="A432" s="13" t="n">
        <v>1045</v>
      </c>
      <c r="B432" s="14" t="n">
        <v>46204</v>
      </c>
      <c r="C432" s="13" t="s">
        <v>451</v>
      </c>
      <c r="D432" s="13" t="s">
        <v>709</v>
      </c>
      <c r="E432" s="13" t="s">
        <v>24</v>
      </c>
      <c r="F432" s="13" t="s">
        <v>131</v>
      </c>
      <c r="G432" s="13" t="s">
        <v>56</v>
      </c>
      <c r="H432" s="13" t="n">
        <v>1</v>
      </c>
      <c r="I432" s="15" t="n">
        <v>180</v>
      </c>
      <c r="J432" s="13" t="s">
        <v>57</v>
      </c>
      <c r="K432" s="13" t="s">
        <v>58</v>
      </c>
      <c r="L432" s="13" t="s">
        <v>35</v>
      </c>
      <c r="M432" s="15" t="n">
        <f aca="false">IF(AND(ISNUMBER(H432),ISNUMBER(I432)),H432*I432,"")</f>
        <v>180</v>
      </c>
    </row>
    <row r="433" customFormat="false" ht="15" hidden="false" customHeight="false" outlineLevel="0" collapsed="false">
      <c r="A433" s="13" t="n">
        <v>1099</v>
      </c>
      <c r="B433" s="14" t="n">
        <v>46186</v>
      </c>
      <c r="C433" s="13" t="s">
        <v>608</v>
      </c>
      <c r="D433" s="13" t="s">
        <v>710</v>
      </c>
      <c r="E433" s="13" t="s">
        <v>24</v>
      </c>
      <c r="F433" s="13" t="s">
        <v>17</v>
      </c>
      <c r="G433" s="13" t="s">
        <v>86</v>
      </c>
      <c r="H433" s="13" t="n">
        <v>1</v>
      </c>
      <c r="I433" s="15" t="n">
        <v>900</v>
      </c>
      <c r="J433" s="13" t="s">
        <v>64</v>
      </c>
      <c r="K433" s="13" t="s">
        <v>80</v>
      </c>
      <c r="L433" s="13" t="s">
        <v>34</v>
      </c>
      <c r="M433" s="15" t="n">
        <f aca="false">IF(AND(ISNUMBER(H433),ISNUMBER(I433)),H433*I433,"")</f>
        <v>900</v>
      </c>
    </row>
    <row r="434" customFormat="false" ht="15" hidden="false" customHeight="false" outlineLevel="0" collapsed="false">
      <c r="A434" s="13" t="n">
        <v>1405</v>
      </c>
      <c r="B434" s="14" t="n">
        <v>46217</v>
      </c>
      <c r="C434" s="13" t="s">
        <v>711</v>
      </c>
      <c r="D434" s="13" t="s">
        <v>712</v>
      </c>
      <c r="E434" s="13" t="s">
        <v>24</v>
      </c>
      <c r="F434" s="13" t="s">
        <v>18</v>
      </c>
      <c r="G434" s="13" t="s">
        <v>63</v>
      </c>
      <c r="H434" s="13" t="n">
        <v>2</v>
      </c>
      <c r="I434" s="15" t="n">
        <v>950</v>
      </c>
      <c r="J434" s="13" t="s">
        <v>64</v>
      </c>
      <c r="K434" s="13" t="s">
        <v>58</v>
      </c>
      <c r="L434" s="13" t="s">
        <v>35</v>
      </c>
      <c r="M434" s="15" t="n">
        <f aca="false">IF(AND(ISNUMBER(H434),ISNUMBER(I434)),H434*I434,"")</f>
        <v>1900</v>
      </c>
    </row>
    <row r="435" customFormat="false" ht="15" hidden="false" customHeight="false" outlineLevel="0" collapsed="false">
      <c r="A435" s="13" t="n">
        <v>1415</v>
      </c>
      <c r="B435" s="14" t="n">
        <v>46178</v>
      </c>
      <c r="C435" s="13" t="s">
        <v>84</v>
      </c>
      <c r="D435" s="13" t="s">
        <v>713</v>
      </c>
      <c r="E435" s="13" t="s">
        <v>24</v>
      </c>
      <c r="F435" s="13" t="s">
        <v>16</v>
      </c>
      <c r="G435" s="13" t="s">
        <v>101</v>
      </c>
      <c r="H435" s="13" t="n">
        <v>1</v>
      </c>
      <c r="I435" s="15" t="n">
        <v>1100</v>
      </c>
      <c r="J435" s="13" t="s">
        <v>72</v>
      </c>
      <c r="K435" s="13" t="s">
        <v>75</v>
      </c>
      <c r="L435" s="13" t="s">
        <v>34</v>
      </c>
      <c r="M435" s="15" t="n">
        <f aca="false">IF(AND(ISNUMBER(H435),ISNUMBER(I435)),H435*I435,"")</f>
        <v>1100</v>
      </c>
    </row>
    <row r="436" customFormat="false" ht="15" hidden="false" customHeight="false" outlineLevel="0" collapsed="false">
      <c r="A436" s="13" t="n">
        <v>1271</v>
      </c>
      <c r="B436" s="14" t="n">
        <v>46246</v>
      </c>
      <c r="C436" s="13" t="s">
        <v>379</v>
      </c>
      <c r="D436" s="13" t="s">
        <v>714</v>
      </c>
      <c r="E436" s="13" t="s">
        <v>26</v>
      </c>
      <c r="F436" s="13" t="s">
        <v>49</v>
      </c>
      <c r="G436" s="13" t="s">
        <v>50</v>
      </c>
      <c r="H436" s="13" t="n">
        <v>2</v>
      </c>
      <c r="I436" s="15" t="n">
        <v>120</v>
      </c>
      <c r="J436" s="13" t="s">
        <v>57</v>
      </c>
      <c r="K436" s="13" t="s">
        <v>58</v>
      </c>
      <c r="L436" s="13" t="s">
        <v>36</v>
      </c>
      <c r="M436" s="15" t="n">
        <f aca="false">IF(AND(ISNUMBER(H436),ISNUMBER(I436)),H436*I436,"")</f>
        <v>240</v>
      </c>
    </row>
    <row r="437" customFormat="false" ht="15" hidden="false" customHeight="false" outlineLevel="0" collapsed="false">
      <c r="A437" s="13" t="n">
        <v>1417</v>
      </c>
      <c r="B437" s="14" t="n">
        <v>46209</v>
      </c>
      <c r="C437" s="13" t="s">
        <v>444</v>
      </c>
      <c r="D437" s="13" t="s">
        <v>715</v>
      </c>
      <c r="E437" s="13" t="s">
        <v>26</v>
      </c>
      <c r="F437" s="13" t="s">
        <v>91</v>
      </c>
      <c r="G437" s="13" t="s">
        <v>71</v>
      </c>
      <c r="H437" s="13" t="n">
        <v>1</v>
      </c>
      <c r="I437" s="15"/>
      <c r="J437" s="13" t="s">
        <v>72</v>
      </c>
      <c r="K437" s="13" t="s">
        <v>58</v>
      </c>
      <c r="L437" s="13" t="s">
        <v>35</v>
      </c>
      <c r="M437" s="15" t="str">
        <f aca="false">IF(AND(ISNUMBER(H437),ISNUMBER(I437)),H437*I437,"")</f>
        <v/>
      </c>
    </row>
    <row r="438" customFormat="false" ht="15" hidden="false" customHeight="false" outlineLevel="0" collapsed="false">
      <c r="A438" s="13" t="n">
        <v>1223</v>
      </c>
      <c r="B438" s="14" t="n">
        <v>46232</v>
      </c>
      <c r="C438" s="13" t="s">
        <v>716</v>
      </c>
      <c r="D438" s="13" t="s">
        <v>717</v>
      </c>
      <c r="E438" s="13" t="s">
        <v>30</v>
      </c>
      <c r="F438" s="13" t="s">
        <v>16</v>
      </c>
      <c r="G438" s="13" t="s">
        <v>101</v>
      </c>
      <c r="H438" s="13" t="n">
        <v>2</v>
      </c>
      <c r="I438" s="15" t="n">
        <v>1100</v>
      </c>
      <c r="J438" s="13" t="s">
        <v>64</v>
      </c>
      <c r="K438" s="13" t="s">
        <v>75</v>
      </c>
      <c r="L438" s="13" t="s">
        <v>35</v>
      </c>
      <c r="M438" s="15" t="n">
        <f aca="false">IF(AND(ISNUMBER(H438),ISNUMBER(I438)),H438*I438,"")</f>
        <v>2200</v>
      </c>
    </row>
    <row r="439" customFormat="false" ht="15" hidden="false" customHeight="false" outlineLevel="0" collapsed="false">
      <c r="A439" s="13" t="n">
        <v>1083</v>
      </c>
      <c r="B439" s="14" t="n">
        <v>46210</v>
      </c>
      <c r="C439" s="13" t="s">
        <v>567</v>
      </c>
      <c r="D439" s="13" t="s">
        <v>718</v>
      </c>
      <c r="E439" s="13" t="s">
        <v>30</v>
      </c>
      <c r="F439" s="13" t="s">
        <v>16</v>
      </c>
      <c r="G439" s="13" t="s">
        <v>101</v>
      </c>
      <c r="H439" s="13" t="n">
        <v>2</v>
      </c>
      <c r="I439" s="15" t="n">
        <v>1100</v>
      </c>
      <c r="J439" s="13" t="s">
        <v>64</v>
      </c>
      <c r="K439" s="13" t="s">
        <v>80</v>
      </c>
      <c r="L439" s="13" t="s">
        <v>35</v>
      </c>
      <c r="M439" s="15" t="n">
        <f aca="false">IF(AND(ISNUMBER(H439),ISNUMBER(I439)),H439*I439,"")</f>
        <v>2200</v>
      </c>
    </row>
    <row r="440" customFormat="false" ht="15" hidden="false" customHeight="false" outlineLevel="0" collapsed="false">
      <c r="A440" s="13" t="n">
        <v>1380</v>
      </c>
      <c r="B440" s="14" t="n">
        <v>46262</v>
      </c>
      <c r="C440" s="13" t="s">
        <v>719</v>
      </c>
      <c r="D440" s="13" t="s">
        <v>720</v>
      </c>
      <c r="E440" s="13" t="s">
        <v>24</v>
      </c>
      <c r="F440" s="13" t="s">
        <v>19</v>
      </c>
      <c r="G440" s="13" t="s">
        <v>86</v>
      </c>
      <c r="H440" s="13" t="n">
        <v>1</v>
      </c>
      <c r="I440" s="15" t="n">
        <v>750</v>
      </c>
      <c r="J440" s="13" t="s">
        <v>57</v>
      </c>
      <c r="K440" s="13" t="s">
        <v>58</v>
      </c>
      <c r="L440" s="13" t="s">
        <v>36</v>
      </c>
      <c r="M440" s="15" t="n">
        <f aca="false">IF(AND(ISNUMBER(H440),ISNUMBER(I440)),H440*I440,"")</f>
        <v>750</v>
      </c>
    </row>
    <row r="441" customFormat="false" ht="15" hidden="false" customHeight="false" outlineLevel="0" collapsed="false">
      <c r="A441" s="13" t="n">
        <v>1104</v>
      </c>
      <c r="B441" s="14" t="n">
        <v>46251</v>
      </c>
      <c r="C441" s="13" t="s">
        <v>161</v>
      </c>
      <c r="D441" s="13" t="s">
        <v>721</v>
      </c>
      <c r="E441" s="13" t="s">
        <v>26</v>
      </c>
      <c r="F441" s="13" t="s">
        <v>96</v>
      </c>
      <c r="G441" s="13" t="s">
        <v>56</v>
      </c>
      <c r="H441" s="13" t="n">
        <v>1</v>
      </c>
      <c r="I441" s="15" t="n">
        <v>320</v>
      </c>
      <c r="J441" s="13" t="s">
        <v>57</v>
      </c>
      <c r="K441" s="13" t="s">
        <v>58</v>
      </c>
      <c r="L441" s="13" t="s">
        <v>36</v>
      </c>
      <c r="M441" s="15" t="n">
        <f aca="false">IF(AND(ISNUMBER(H441),ISNUMBER(I441)),H441*I441,"")</f>
        <v>320</v>
      </c>
    </row>
    <row r="442" customFormat="false" ht="15" hidden="false" customHeight="false" outlineLevel="0" collapsed="false">
      <c r="A442" s="13" t="n">
        <v>1116</v>
      </c>
      <c r="B442" s="14" t="n">
        <v>46176</v>
      </c>
      <c r="C442" s="13" t="s">
        <v>254</v>
      </c>
      <c r="D442" s="13" t="s">
        <v>722</v>
      </c>
      <c r="E442" s="13" t="s">
        <v>29</v>
      </c>
      <c r="F442" s="13" t="s">
        <v>55</v>
      </c>
      <c r="G442" s="13" t="s">
        <v>56</v>
      </c>
      <c r="H442" s="13" t="n">
        <v>2</v>
      </c>
      <c r="I442" s="15" t="n">
        <v>450</v>
      </c>
      <c r="J442" s="13" t="s">
        <v>57</v>
      </c>
      <c r="K442" s="13" t="s">
        <v>58</v>
      </c>
      <c r="L442" s="13" t="s">
        <v>34</v>
      </c>
      <c r="M442" s="15" t="n">
        <f aca="false">IF(AND(ISNUMBER(H442),ISNUMBER(I442)),H442*I442,"")</f>
        <v>900</v>
      </c>
    </row>
    <row r="443" customFormat="false" ht="15" hidden="false" customHeight="false" outlineLevel="0" collapsed="false">
      <c r="A443" s="13" t="n">
        <v>1147</v>
      </c>
      <c r="B443" s="14" t="n">
        <v>46256</v>
      </c>
      <c r="C443" s="13" t="s">
        <v>159</v>
      </c>
      <c r="D443" s="13" t="s">
        <v>723</v>
      </c>
      <c r="E443" s="13" t="s">
        <v>29</v>
      </c>
      <c r="F443" s="13" t="s">
        <v>16</v>
      </c>
      <c r="G443" s="13" t="s">
        <v>101</v>
      </c>
      <c r="H443" s="13" t="n">
        <v>3</v>
      </c>
      <c r="I443" s="15" t="n">
        <v>1100</v>
      </c>
      <c r="J443" s="13" t="s">
        <v>51</v>
      </c>
      <c r="K443" s="13" t="s">
        <v>52</v>
      </c>
      <c r="L443" s="13" t="s">
        <v>36</v>
      </c>
      <c r="M443" s="15" t="n">
        <f aca="false">IF(AND(ISNUMBER(H443),ISNUMBER(I443)),H443*I443,"")</f>
        <v>3300</v>
      </c>
    </row>
    <row r="444" customFormat="false" ht="15" hidden="false" customHeight="false" outlineLevel="0" collapsed="false">
      <c r="A444" s="13" t="n">
        <v>1348</v>
      </c>
      <c r="B444" s="14" t="n">
        <v>46225</v>
      </c>
      <c r="C444" s="13" t="s">
        <v>228</v>
      </c>
      <c r="D444" s="13" t="s">
        <v>724</v>
      </c>
      <c r="E444" s="13" t="s">
        <v>24</v>
      </c>
      <c r="F444" s="13" t="s">
        <v>91</v>
      </c>
      <c r="G444" s="13" t="s">
        <v>71</v>
      </c>
      <c r="H444" s="13" t="n">
        <v>2</v>
      </c>
      <c r="I444" s="15" t="n">
        <v>300</v>
      </c>
      <c r="J444" s="13" t="s">
        <v>72</v>
      </c>
      <c r="K444" s="13" t="s">
        <v>52</v>
      </c>
      <c r="L444" s="13" t="s">
        <v>35</v>
      </c>
      <c r="M444" s="15" t="n">
        <f aca="false">IF(AND(ISNUMBER(H444),ISNUMBER(I444)),H444*I444,"")</f>
        <v>600</v>
      </c>
    </row>
    <row r="445" customFormat="false" ht="15" hidden="false" customHeight="false" outlineLevel="0" collapsed="false">
      <c r="A445" s="13" t="n">
        <v>1225</v>
      </c>
      <c r="B445" s="14" t="n">
        <v>46226</v>
      </c>
      <c r="C445" s="13" t="s">
        <v>121</v>
      </c>
      <c r="D445" s="13" t="s">
        <v>725</v>
      </c>
      <c r="E445" s="13" t="s">
        <v>25</v>
      </c>
      <c r="F445" s="13" t="s">
        <v>18</v>
      </c>
      <c r="G445" s="13" t="s">
        <v>63</v>
      </c>
      <c r="H445" s="13" t="n">
        <v>1</v>
      </c>
      <c r="I445" s="15" t="n">
        <v>950</v>
      </c>
      <c r="J445" s="13" t="s">
        <v>64</v>
      </c>
      <c r="K445" s="13" t="s">
        <v>58</v>
      </c>
      <c r="L445" s="13" t="s">
        <v>35</v>
      </c>
      <c r="M445" s="15" t="n">
        <f aca="false">IF(AND(ISNUMBER(H445),ISNUMBER(I445)),H445*I445,"")</f>
        <v>950</v>
      </c>
    </row>
    <row r="446" customFormat="false" ht="15" hidden="false" customHeight="false" outlineLevel="0" collapsed="false">
      <c r="A446" s="13" t="n">
        <v>1252</v>
      </c>
      <c r="B446" s="14" t="n">
        <v>46187</v>
      </c>
      <c r="C446" s="13" t="s">
        <v>726</v>
      </c>
      <c r="D446" s="13" t="s">
        <v>727</v>
      </c>
      <c r="E446" s="13" t="s">
        <v>25</v>
      </c>
      <c r="F446" s="13" t="s">
        <v>20</v>
      </c>
      <c r="G446" s="13" t="s">
        <v>71</v>
      </c>
      <c r="H446" s="13" t="n">
        <v>2</v>
      </c>
      <c r="I446" s="15" t="n">
        <v>550</v>
      </c>
      <c r="J446" s="13" t="s">
        <v>51</v>
      </c>
      <c r="K446" s="13" t="s">
        <v>58</v>
      </c>
      <c r="L446" s="13" t="s">
        <v>34</v>
      </c>
      <c r="M446" s="15" t="n">
        <f aca="false">IF(AND(ISNUMBER(H446),ISNUMBER(I446)),H446*I446,"")</f>
        <v>1100</v>
      </c>
    </row>
    <row r="447" customFormat="false" ht="15" hidden="false" customHeight="false" outlineLevel="0" collapsed="false">
      <c r="A447" s="13" t="n">
        <v>1130</v>
      </c>
      <c r="B447" s="14" t="n">
        <v>46185</v>
      </c>
      <c r="C447" s="13" t="s">
        <v>313</v>
      </c>
      <c r="D447" s="13" t="s">
        <v>728</v>
      </c>
      <c r="E447" s="13" t="s">
        <v>24</v>
      </c>
      <c r="F447" s="13" t="s">
        <v>16</v>
      </c>
      <c r="G447" s="13" t="s">
        <v>101</v>
      </c>
      <c r="H447" s="13" t="n">
        <v>2</v>
      </c>
      <c r="I447" s="15" t="n">
        <v>1100</v>
      </c>
      <c r="J447" s="13" t="s">
        <v>64</v>
      </c>
      <c r="K447" s="13" t="s">
        <v>58</v>
      </c>
      <c r="L447" s="13" t="s">
        <v>34</v>
      </c>
      <c r="M447" s="15" t="n">
        <f aca="false">IF(AND(ISNUMBER(H447),ISNUMBER(I447)),H447*I447,"")</f>
        <v>2200</v>
      </c>
    </row>
    <row r="448" customFormat="false" ht="15" hidden="false" customHeight="false" outlineLevel="0" collapsed="false">
      <c r="A448" s="13" t="n">
        <v>1101</v>
      </c>
      <c r="B448" s="14" t="n">
        <v>46222</v>
      </c>
      <c r="C448" s="13" t="s">
        <v>593</v>
      </c>
      <c r="D448" s="13" t="s">
        <v>729</v>
      </c>
      <c r="E448" s="13" t="s">
        <v>26</v>
      </c>
      <c r="F448" s="13" t="s">
        <v>17</v>
      </c>
      <c r="G448" s="13" t="s">
        <v>86</v>
      </c>
      <c r="H448" s="13" t="n">
        <v>1</v>
      </c>
      <c r="I448" s="15" t="n">
        <v>900</v>
      </c>
      <c r="J448" s="13" t="s">
        <v>64</v>
      </c>
      <c r="K448" s="13" t="s">
        <v>58</v>
      </c>
      <c r="L448" s="13" t="s">
        <v>35</v>
      </c>
      <c r="M448" s="15" t="n">
        <f aca="false">IF(AND(ISNUMBER(H448),ISNUMBER(I448)),H448*I448,"")</f>
        <v>900</v>
      </c>
    </row>
    <row r="449" customFormat="false" ht="15" hidden="false" customHeight="false" outlineLevel="0" collapsed="false">
      <c r="A449" s="13" t="n">
        <v>1103</v>
      </c>
      <c r="B449" s="14" t="n">
        <v>46182</v>
      </c>
      <c r="C449" s="13" t="s">
        <v>730</v>
      </c>
      <c r="D449" s="13" t="s">
        <v>731</v>
      </c>
      <c r="E449" s="13" t="s">
        <v>24</v>
      </c>
      <c r="F449" s="13" t="s">
        <v>91</v>
      </c>
      <c r="G449" s="13" t="s">
        <v>71</v>
      </c>
      <c r="H449" s="13" t="n">
        <v>1</v>
      </c>
      <c r="I449" s="15" t="n">
        <v>300</v>
      </c>
      <c r="J449" s="13" t="s">
        <v>57</v>
      </c>
      <c r="K449" s="13" t="s">
        <v>58</v>
      </c>
      <c r="L449" s="13" t="s">
        <v>34</v>
      </c>
      <c r="M449" s="15" t="n">
        <f aca="false">IF(AND(ISNUMBER(H449),ISNUMBER(I449)),H449*I449,"")</f>
        <v>300</v>
      </c>
    </row>
    <row r="450" customFormat="false" ht="15" hidden="false" customHeight="false" outlineLevel="0" collapsed="false">
      <c r="A450" s="13" t="n">
        <v>1285</v>
      </c>
      <c r="B450" s="14" t="n">
        <v>46199</v>
      </c>
      <c r="C450" s="13" t="s">
        <v>209</v>
      </c>
      <c r="D450" s="13" t="s">
        <v>732</v>
      </c>
      <c r="E450" s="13" t="s">
        <v>25</v>
      </c>
      <c r="F450" s="13" t="s">
        <v>16</v>
      </c>
      <c r="G450" s="13" t="s">
        <v>101</v>
      </c>
      <c r="H450" s="13" t="n">
        <v>2</v>
      </c>
      <c r="I450" s="15" t="n">
        <v>1100</v>
      </c>
      <c r="J450" s="13" t="s">
        <v>57</v>
      </c>
      <c r="K450" s="13" t="s">
        <v>80</v>
      </c>
      <c r="L450" s="13" t="s">
        <v>34</v>
      </c>
      <c r="M450" s="15" t="n">
        <f aca="false">IF(AND(ISNUMBER(H450),ISNUMBER(I450)),H450*I450,"")</f>
        <v>2200</v>
      </c>
    </row>
    <row r="451" customFormat="false" ht="15" hidden="false" customHeight="false" outlineLevel="0" collapsed="false">
      <c r="A451" s="13" t="n">
        <v>1294</v>
      </c>
      <c r="B451" s="14" t="n">
        <v>46204</v>
      </c>
      <c r="C451" s="13" t="s">
        <v>733</v>
      </c>
      <c r="D451" s="13" t="s">
        <v>734</v>
      </c>
      <c r="E451" s="13" t="s">
        <v>29</v>
      </c>
      <c r="F451" s="13" t="s">
        <v>49</v>
      </c>
      <c r="G451" s="13" t="s">
        <v>50</v>
      </c>
      <c r="H451" s="13" t="n">
        <v>2</v>
      </c>
      <c r="I451" s="15" t="n">
        <v>120</v>
      </c>
      <c r="J451" s="13" t="s">
        <v>57</v>
      </c>
      <c r="K451" s="13" t="s">
        <v>58</v>
      </c>
      <c r="L451" s="13" t="s">
        <v>35</v>
      </c>
      <c r="M451" s="15" t="n">
        <f aca="false">IF(AND(ISNUMBER(H451),ISNUMBER(I451)),H451*I451,"")</f>
        <v>240</v>
      </c>
    </row>
  </sheetData>
  <autoFilter ref="A1:M4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78"/>
  </cols>
  <sheetData>
    <row r="1" customFormat="false" ht="18.55" hidden="false" customHeight="false" outlineLevel="0" collapsed="false">
      <c r="A1" s="1" t="s">
        <v>735</v>
      </c>
    </row>
    <row r="2" customFormat="false" ht="15" hidden="false" customHeight="false" outlineLevel="0" collapsed="false">
      <c r="A2" s="2" t="s">
        <v>736</v>
      </c>
    </row>
    <row r="4" customFormat="false" ht="15" hidden="false" customHeight="false" outlineLevel="0" collapsed="false">
      <c r="A4" s="3" t="s">
        <v>737</v>
      </c>
    </row>
    <row r="5" customFormat="false" ht="15" hidden="false" customHeight="false" outlineLevel="0" collapsed="false">
      <c r="A5" s="4" t="s">
        <v>738</v>
      </c>
      <c r="B5" s="4" t="s">
        <v>739</v>
      </c>
      <c r="C5" s="4" t="s">
        <v>740</v>
      </c>
    </row>
    <row r="6" customFormat="false" ht="15" hidden="false" customHeight="false" outlineLevel="0" collapsed="false">
      <c r="A6" s="5" t="s">
        <v>741</v>
      </c>
      <c r="B6" s="6" t="n">
        <v>486</v>
      </c>
      <c r="C6" s="9" t="s">
        <v>742</v>
      </c>
    </row>
    <row r="7" customFormat="false" ht="15" hidden="false" customHeight="false" outlineLevel="0" collapsed="false">
      <c r="A7" s="5" t="s">
        <v>743</v>
      </c>
      <c r="B7" s="6" t="n">
        <v>36</v>
      </c>
      <c r="C7" s="9" t="s">
        <v>744</v>
      </c>
    </row>
    <row r="8" customFormat="false" ht="15" hidden="false" customHeight="false" outlineLevel="0" collapsed="false">
      <c r="A8" s="5" t="s">
        <v>745</v>
      </c>
      <c r="B8" s="6" t="n">
        <f aca="false">COUNTA('Cleaned Data'!$A$2:$A$451)</f>
        <v>450</v>
      </c>
      <c r="C8" s="9" t="s">
        <v>746</v>
      </c>
    </row>
    <row r="10" customFormat="false" ht="15" hidden="false" customHeight="false" outlineLevel="0" collapsed="false">
      <c r="A10" s="3" t="s">
        <v>747</v>
      </c>
    </row>
    <row r="11" customFormat="false" ht="15" hidden="false" customHeight="false" outlineLevel="0" collapsed="false">
      <c r="A11" s="4" t="s">
        <v>748</v>
      </c>
      <c r="B11" s="4" t="s">
        <v>749</v>
      </c>
      <c r="C11" s="4" t="s">
        <v>750</v>
      </c>
    </row>
    <row r="12" customFormat="false" ht="23.85" hidden="false" customHeight="false" outlineLevel="0" collapsed="false">
      <c r="A12" s="5" t="s">
        <v>23</v>
      </c>
      <c r="B12" s="6" t="n">
        <f aca="false">COUNTBLANK('Cleaned Data'!$E$2:$E$451)</f>
        <v>20</v>
      </c>
      <c r="C12" s="16" t="s">
        <v>751</v>
      </c>
    </row>
    <row r="13" customFormat="false" ht="15" hidden="false" customHeight="false" outlineLevel="0" collapsed="false">
      <c r="A13" s="5" t="s">
        <v>42</v>
      </c>
      <c r="B13" s="6" t="n">
        <f aca="false">COUNTBLANK('Cleaned Data'!$H$2:$H$451)</f>
        <v>5</v>
      </c>
      <c r="C13" s="16" t="s">
        <v>752</v>
      </c>
    </row>
    <row r="14" customFormat="false" ht="15" hidden="false" customHeight="false" outlineLevel="0" collapsed="false">
      <c r="A14" s="5" t="s">
        <v>43</v>
      </c>
      <c r="B14" s="6" t="n">
        <f aca="false">COUNTBLANK('Cleaned Data'!$I$2:$I$451)</f>
        <v>22</v>
      </c>
      <c r="C14" s="16" t="s">
        <v>753</v>
      </c>
    </row>
    <row r="15" customFormat="false" ht="15" hidden="false" customHeight="false" outlineLevel="0" collapsed="false">
      <c r="A15" s="5" t="s">
        <v>754</v>
      </c>
      <c r="B15" s="6" t="n">
        <f aca="false">COUNTIF('Cleaned Data'!$M$2:$M$451,"")</f>
        <v>25</v>
      </c>
      <c r="C15" s="9" t="s">
        <v>755</v>
      </c>
    </row>
    <row r="17" customFormat="false" ht="15" hidden="false" customHeight="false" outlineLevel="0" collapsed="false">
      <c r="A17" s="3" t="s">
        <v>756</v>
      </c>
    </row>
    <row r="18" customFormat="false" ht="15" hidden="false" customHeight="false" outlineLevel="0" collapsed="false">
      <c r="A18" s="4" t="s">
        <v>748</v>
      </c>
      <c r="B18" s="4"/>
      <c r="C18" s="4" t="s">
        <v>757</v>
      </c>
    </row>
    <row r="19" customFormat="false" ht="42" hidden="false" customHeight="true" outlineLevel="0" collapsed="false">
      <c r="A19" s="5" t="s">
        <v>38</v>
      </c>
      <c r="B19" s="9"/>
      <c r="C19" s="16" t="s">
        <v>758</v>
      </c>
    </row>
    <row r="20" customFormat="false" ht="27.75" hidden="false" customHeight="true" outlineLevel="0" collapsed="false">
      <c r="A20" s="5" t="s">
        <v>23</v>
      </c>
      <c r="B20" s="9"/>
      <c r="C20" s="16" t="s">
        <v>759</v>
      </c>
    </row>
    <row r="21" customFormat="false" ht="27.75" hidden="false" customHeight="true" outlineLevel="0" collapsed="false">
      <c r="A21" s="5" t="s">
        <v>43</v>
      </c>
      <c r="B21" s="9"/>
      <c r="C21" s="16" t="s">
        <v>760</v>
      </c>
    </row>
    <row r="22" customFormat="false" ht="27.75" hidden="false" customHeight="true" outlineLevel="0" collapsed="false">
      <c r="A22" s="5" t="s">
        <v>40</v>
      </c>
      <c r="B22" s="9"/>
      <c r="C22" s="16" t="s">
        <v>761</v>
      </c>
    </row>
    <row r="23" customFormat="false" ht="27.75" hidden="false" customHeight="true" outlineLevel="0" collapsed="false">
      <c r="A23" s="5" t="s">
        <v>762</v>
      </c>
      <c r="B23" s="9"/>
      <c r="C23" s="16" t="s">
        <v>763</v>
      </c>
    </row>
    <row r="24" customFormat="false" ht="27.75" hidden="false" customHeight="true" outlineLevel="0" collapsed="false">
      <c r="A24" s="5" t="s">
        <v>42</v>
      </c>
      <c r="B24" s="9"/>
      <c r="C24" s="16" t="s">
        <v>764</v>
      </c>
    </row>
    <row r="25" customFormat="false" ht="42" hidden="false" customHeight="true" outlineLevel="0" collapsed="false">
      <c r="A25" s="5" t="s">
        <v>765</v>
      </c>
      <c r="B25" s="9"/>
      <c r="C25" s="16" t="s">
        <v>766</v>
      </c>
    </row>
    <row r="27" customFormat="false" ht="15" hidden="false" customHeight="false" outlineLevel="0" collapsed="false">
      <c r="A27" s="2" t="s">
        <v>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2026-09-28T22:17:05Z</dcterms:created>
  <dc:creator>openpyxl</dc:creator>
  <dc:description/>
  <dc:language>en-US</dc:language>
  <cp:lastModifiedBy/>
  <dcterms:modified xsi:type="dcterms:W3CDTF">2026-09-28T22:17:07Z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